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hp-my.sharepoint.com/personal/daunou_hp_com/Documents/Quickspecs SCRIPT/"/>
    </mc:Choice>
  </mc:AlternateContent>
  <xr:revisionPtr revIDLastSave="291" documentId="8_{553D3FF9-AFF2-4F0F-B5C8-BEA54C927D2A}" xr6:coauthVersionLast="47" xr6:coauthVersionMax="47" xr10:uidLastSave="{779D1AFA-5F5C-4CA0-BBEA-455F879FB27C}"/>
  <bookViews>
    <workbookView xWindow="38280" yWindow="-120" windowWidth="38640" windowHeight="21120" xr2:uid="{498DE967-2523-46FD-97F3-30D847CED5BA}"/>
  </bookViews>
  <sheets>
    <sheet name="QuickSpecsList" sheetId="1" r:id="rId1"/>
    <sheet name="Check if already in the DB" sheetId="4" r:id="rId2"/>
    <sheet name="GenList" sheetId="2" r:id="rId3"/>
    <sheet name="Category" sheetId="3" r:id="rId4"/>
  </sheets>
  <definedNames>
    <definedName name="_xlnm._FilterDatabase" localSheetId="1" hidden="1">'Check if already in the DB'!$E$4:$E$674</definedName>
    <definedName name="_xlnm._FilterDatabase" localSheetId="0" hidden="1">QuickSpecsList!$A$1:$G$597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2" i="1" l="1"/>
  <c r="E538" i="1" a="1"/>
  <c r="E538" i="1" s="1"/>
  <c r="G538" i="1"/>
  <c r="C539" i="1" a="1"/>
  <c r="C539" i="1" s="1"/>
  <c r="D539" i="1" a="1"/>
  <c r="D539" i="1" s="1"/>
  <c r="E539" i="1" a="1"/>
  <c r="E539" i="1" s="1"/>
  <c r="G539" i="1"/>
  <c r="C540" i="1" a="1"/>
  <c r="C540" i="1" s="1"/>
  <c r="D540" i="1" a="1"/>
  <c r="D540" i="1" s="1"/>
  <c r="E540" i="1" a="1"/>
  <c r="E540" i="1" s="1"/>
  <c r="G540" i="1"/>
  <c r="C541" i="1" a="1"/>
  <c r="C541" i="1" s="1"/>
  <c r="D541" i="1" a="1"/>
  <c r="D541" i="1" s="1"/>
  <c r="E541" i="1" a="1"/>
  <c r="E541" i="1" s="1"/>
  <c r="G541" i="1"/>
  <c r="E542" i="1" a="1"/>
  <c r="E542" i="1" s="1"/>
  <c r="G542" i="1"/>
  <c r="E543" i="1" a="1"/>
  <c r="E543" i="1" s="1"/>
  <c r="G543" i="1"/>
  <c r="E544" i="1" a="1"/>
  <c r="E544" i="1" s="1"/>
  <c r="G544" i="1"/>
  <c r="E545" i="1" a="1"/>
  <c r="E545" i="1" s="1"/>
  <c r="G545" i="1"/>
  <c r="E546" i="1" a="1"/>
  <c r="E546" i="1" s="1"/>
  <c r="G546" i="1"/>
  <c r="E547" i="1" a="1"/>
  <c r="E547" i="1" s="1"/>
  <c r="G547" i="1"/>
  <c r="C548" i="1" a="1"/>
  <c r="C548" i="1" s="1"/>
  <c r="D548" i="1" a="1"/>
  <c r="D548" i="1" s="1"/>
  <c r="E548" i="1" a="1"/>
  <c r="E548" i="1" s="1"/>
  <c r="G548" i="1"/>
  <c r="E549" i="1" a="1"/>
  <c r="E549" i="1" s="1"/>
  <c r="G549" i="1"/>
  <c r="C550" i="1" a="1"/>
  <c r="C550" i="1" s="1"/>
  <c r="D550" i="1" a="1"/>
  <c r="D550" i="1" s="1"/>
  <c r="E550" i="1" a="1"/>
  <c r="E550" i="1" s="1"/>
  <c r="G550" i="1"/>
  <c r="C551" i="1" a="1"/>
  <c r="C551" i="1" s="1"/>
  <c r="D551" i="1" a="1"/>
  <c r="D551" i="1" s="1"/>
  <c r="E551" i="1" a="1"/>
  <c r="E551" i="1" s="1"/>
  <c r="G551" i="1"/>
  <c r="C552" i="1" a="1"/>
  <c r="C552" i="1" s="1"/>
  <c r="D552" i="1" a="1"/>
  <c r="D552" i="1" s="1"/>
  <c r="E552" i="1" a="1"/>
  <c r="E552" i="1" s="1"/>
  <c r="G552" i="1"/>
  <c r="E553" i="1" a="1"/>
  <c r="E553" i="1" s="1"/>
  <c r="G553" i="1"/>
  <c r="C554" i="1" a="1"/>
  <c r="C554" i="1" s="1"/>
  <c r="D554" i="1" a="1"/>
  <c r="D554" i="1"/>
  <c r="E554" i="1" a="1"/>
  <c r="E554" i="1" s="1"/>
  <c r="G554" i="1"/>
  <c r="E555" i="1" a="1"/>
  <c r="E555" i="1" s="1"/>
  <c r="G555" i="1"/>
  <c r="E556" i="1" a="1"/>
  <c r="E556" i="1" s="1"/>
  <c r="G556" i="1"/>
  <c r="C557" i="1" a="1"/>
  <c r="C557" i="1" s="1"/>
  <c r="D557" i="1" a="1"/>
  <c r="D557" i="1" s="1"/>
  <c r="E557" i="1" a="1"/>
  <c r="E557" i="1" s="1"/>
  <c r="G557" i="1"/>
  <c r="C558" i="1" a="1"/>
  <c r="C558" i="1" s="1"/>
  <c r="D558" i="1" a="1"/>
  <c r="D558" i="1" s="1"/>
  <c r="E558" i="1" a="1"/>
  <c r="E558" i="1" s="1"/>
  <c r="G558" i="1"/>
  <c r="C559" i="1" a="1"/>
  <c r="C559" i="1" s="1"/>
  <c r="D559" i="1" a="1"/>
  <c r="D559" i="1" s="1"/>
  <c r="E559" i="1" a="1"/>
  <c r="E559" i="1" s="1"/>
  <c r="G559" i="1"/>
  <c r="C560" i="1" a="1"/>
  <c r="C560" i="1" s="1"/>
  <c r="E560" i="1" a="1"/>
  <c r="E560" i="1" s="1"/>
  <c r="G560" i="1"/>
  <c r="C561" i="1" a="1"/>
  <c r="C561" i="1" s="1"/>
  <c r="E561" i="1" a="1"/>
  <c r="E561" i="1" s="1"/>
  <c r="G561" i="1"/>
  <c r="C562" i="1" a="1"/>
  <c r="C562" i="1" s="1"/>
  <c r="E562" i="1" a="1"/>
  <c r="E562" i="1" s="1"/>
  <c r="G562" i="1"/>
  <c r="C563" i="1" a="1"/>
  <c r="C563" i="1" s="1"/>
  <c r="D563" i="1" a="1"/>
  <c r="D563" i="1" s="1"/>
  <c r="E563" i="1" a="1"/>
  <c r="E563" i="1" s="1"/>
  <c r="G563" i="1"/>
  <c r="E564" i="1" a="1"/>
  <c r="E564" i="1" s="1"/>
  <c r="G564" i="1"/>
  <c r="C565" i="1" a="1"/>
  <c r="C565" i="1" s="1"/>
  <c r="D565" i="1" a="1"/>
  <c r="D565" i="1" s="1"/>
  <c r="E565" i="1" a="1"/>
  <c r="E565" i="1" s="1"/>
  <c r="G565" i="1"/>
  <c r="C566" i="1" a="1"/>
  <c r="C566" i="1" s="1"/>
  <c r="D566" i="1" a="1"/>
  <c r="D566" i="1" s="1"/>
  <c r="E566" i="1" a="1"/>
  <c r="E566" i="1" s="1"/>
  <c r="G566" i="1"/>
  <c r="C567" i="1" a="1"/>
  <c r="C567" i="1" s="1"/>
  <c r="D567" i="1" a="1"/>
  <c r="D567" i="1" s="1"/>
  <c r="E567" i="1" a="1"/>
  <c r="E567" i="1" s="1"/>
  <c r="G567" i="1"/>
  <c r="E568" i="1" a="1"/>
  <c r="E568" i="1" s="1"/>
  <c r="G568" i="1"/>
  <c r="G569" i="1"/>
  <c r="C570" i="1" a="1"/>
  <c r="C570" i="1" s="1"/>
  <c r="D570" i="1" a="1"/>
  <c r="D570" i="1" s="1"/>
  <c r="E570" i="1" a="1"/>
  <c r="E570" i="1" s="1"/>
  <c r="G570" i="1"/>
  <c r="E571" i="1" a="1"/>
  <c r="E571" i="1" s="1"/>
  <c r="G571" i="1"/>
  <c r="E572" i="1" a="1"/>
  <c r="E572" i="1" s="1"/>
  <c r="G572" i="1"/>
  <c r="C573" i="1" a="1"/>
  <c r="C573" i="1" s="1"/>
  <c r="D573" i="1" a="1"/>
  <c r="D573" i="1" s="1"/>
  <c r="E573" i="1" a="1"/>
  <c r="E573" i="1" s="1"/>
  <c r="G573" i="1"/>
  <c r="G574" i="1"/>
  <c r="C575" i="1" a="1"/>
  <c r="C575" i="1" s="1"/>
  <c r="D575" i="1" a="1"/>
  <c r="D575" i="1" s="1"/>
  <c r="E575" i="1" a="1"/>
  <c r="E575" i="1" s="1"/>
  <c r="G575" i="1"/>
  <c r="C576" i="1" a="1"/>
  <c r="C576" i="1" s="1"/>
  <c r="D576" i="1" a="1"/>
  <c r="D576" i="1" s="1"/>
  <c r="E576" i="1" a="1"/>
  <c r="E576" i="1" s="1"/>
  <c r="G576" i="1"/>
  <c r="E577" i="1" a="1"/>
  <c r="E577" i="1" s="1"/>
  <c r="G577" i="1"/>
  <c r="C578" i="1" a="1"/>
  <c r="C578" i="1" s="1"/>
  <c r="D578" i="1" a="1"/>
  <c r="D578" i="1" s="1"/>
  <c r="E578" i="1" a="1"/>
  <c r="E578" i="1" s="1"/>
  <c r="G578" i="1"/>
  <c r="C579" i="1" a="1"/>
  <c r="C579" i="1" s="1"/>
  <c r="D579" i="1" a="1"/>
  <c r="D579" i="1" s="1"/>
  <c r="E579" i="1" a="1"/>
  <c r="E579" i="1" s="1"/>
  <c r="G579" i="1"/>
  <c r="E580" i="1" a="1"/>
  <c r="E580" i="1" s="1"/>
  <c r="G580" i="1"/>
  <c r="C581" i="1" a="1"/>
  <c r="C581" i="1" s="1"/>
  <c r="E581" i="1" a="1"/>
  <c r="E581" i="1" s="1"/>
  <c r="G581" i="1"/>
  <c r="E582" i="1" a="1"/>
  <c r="E582" i="1" s="1"/>
  <c r="C583" i="1" a="1"/>
  <c r="C583" i="1" s="1"/>
  <c r="G583" i="1"/>
  <c r="C584" i="1" a="1"/>
  <c r="C584" i="1" s="1"/>
  <c r="D584" i="1" a="1"/>
  <c r="D584" i="1" s="1"/>
  <c r="E584" i="1" a="1"/>
  <c r="E584" i="1" s="1"/>
  <c r="G584" i="1"/>
  <c r="C585" i="1" a="1"/>
  <c r="C585" i="1" s="1"/>
  <c r="D585" i="1" a="1"/>
  <c r="D585" i="1" s="1"/>
  <c r="E585" i="1" a="1"/>
  <c r="E585" i="1" s="1"/>
  <c r="G585" i="1"/>
  <c r="C586" i="1" a="1"/>
  <c r="C586" i="1" s="1"/>
  <c r="E586" i="1" a="1"/>
  <c r="E586" i="1" s="1"/>
  <c r="G586" i="1"/>
  <c r="C587" i="1" a="1"/>
  <c r="C587" i="1" s="1"/>
  <c r="E587" i="1" a="1"/>
  <c r="E587" i="1" s="1"/>
  <c r="G587" i="1"/>
  <c r="E588" i="1" a="1"/>
  <c r="E588" i="1" s="1"/>
  <c r="G588" i="1"/>
  <c r="C589" i="1" a="1"/>
  <c r="C589" i="1" s="1"/>
  <c r="G589" i="1"/>
  <c r="E590" i="1" a="1"/>
  <c r="E590" i="1" s="1"/>
  <c r="G590" i="1"/>
  <c r="C591" i="1" a="1"/>
  <c r="C591" i="1" s="1"/>
  <c r="E591" i="1" a="1"/>
  <c r="E591" i="1" s="1"/>
  <c r="G591" i="1"/>
  <c r="C592" i="1" a="1"/>
  <c r="C592" i="1" s="1"/>
  <c r="E592" i="1" a="1"/>
  <c r="E592" i="1" s="1"/>
  <c r="G592" i="1"/>
  <c r="E593" i="1" a="1"/>
  <c r="E593" i="1" s="1"/>
  <c r="G593" i="1"/>
  <c r="E594" i="1" a="1"/>
  <c r="E594" i="1" s="1"/>
  <c r="G594" i="1"/>
  <c r="E595" i="1" a="1"/>
  <c r="E595" i="1" s="1"/>
  <c r="G595" i="1"/>
  <c r="G596" i="1"/>
  <c r="E597" i="1" a="1"/>
  <c r="E597" i="1" s="1"/>
  <c r="G597" i="1"/>
  <c r="G537" i="1"/>
  <c r="E537" i="1" a="1"/>
  <c r="E537" i="1" s="1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D12" i="1" a="1"/>
  <c r="D12" i="1" s="1"/>
  <c r="D13" i="1" a="1"/>
  <c r="D13" i="1" s="1"/>
  <c r="D17" i="1" a="1"/>
  <c r="D17" i="1" s="1"/>
  <c r="C513" i="1" a="1"/>
  <c r="C513" i="1" s="1"/>
  <c r="E513" i="1" a="1"/>
  <c r="E513" i="1" s="1"/>
  <c r="G513" i="1"/>
  <c r="C514" i="1" a="1"/>
  <c r="C514" i="1" s="1"/>
  <c r="D514" i="1" a="1"/>
  <c r="D514" i="1" s="1"/>
  <c r="E514" i="1" a="1"/>
  <c r="E514" i="1" s="1"/>
  <c r="G514" i="1"/>
  <c r="G515" i="1"/>
  <c r="C516" i="1" a="1"/>
  <c r="C516" i="1" s="1"/>
  <c r="D516" i="1" a="1"/>
  <c r="D516" i="1" s="1"/>
  <c r="E516" i="1" a="1"/>
  <c r="E516" i="1" s="1"/>
  <c r="G516" i="1"/>
  <c r="C517" i="1" a="1"/>
  <c r="C517" i="1" s="1"/>
  <c r="D517" i="1" a="1"/>
  <c r="D517" i="1" s="1"/>
  <c r="E517" i="1" a="1"/>
  <c r="E517" i="1" s="1"/>
  <c r="G517" i="1"/>
  <c r="C518" i="1" a="1"/>
  <c r="C518" i="1" s="1"/>
  <c r="D518" i="1" a="1"/>
  <c r="D518" i="1" s="1"/>
  <c r="E518" i="1" a="1"/>
  <c r="E518" i="1" s="1"/>
  <c r="G518" i="1"/>
  <c r="C519" i="1" a="1"/>
  <c r="C519" i="1" s="1"/>
  <c r="D519" i="1" a="1"/>
  <c r="D519" i="1" s="1"/>
  <c r="E519" i="1" a="1"/>
  <c r="E519" i="1" s="1"/>
  <c r="G519" i="1"/>
  <c r="C520" i="1" a="1"/>
  <c r="C520" i="1" s="1"/>
  <c r="D520" i="1" a="1"/>
  <c r="D520" i="1" s="1"/>
  <c r="E520" i="1" a="1"/>
  <c r="E520" i="1" s="1"/>
  <c r="G520" i="1"/>
  <c r="C521" i="1" a="1"/>
  <c r="C521" i="1" s="1"/>
  <c r="D521" i="1" a="1"/>
  <c r="D521" i="1" s="1"/>
  <c r="E521" i="1" a="1"/>
  <c r="E521" i="1" s="1"/>
  <c r="G521" i="1"/>
  <c r="C522" i="1" a="1"/>
  <c r="C522" i="1" s="1"/>
  <c r="D522" i="1" a="1"/>
  <c r="D522" i="1" s="1"/>
  <c r="E522" i="1" a="1"/>
  <c r="E522" i="1" s="1"/>
  <c r="G522" i="1"/>
  <c r="C523" i="1" a="1"/>
  <c r="C523" i="1" s="1"/>
  <c r="E523" i="1" a="1"/>
  <c r="E523" i="1" s="1"/>
  <c r="G523" i="1"/>
  <c r="C524" i="1" a="1"/>
  <c r="C524" i="1" s="1"/>
  <c r="D524" i="1" a="1"/>
  <c r="D524" i="1" s="1"/>
  <c r="E524" i="1" a="1"/>
  <c r="E524" i="1" s="1"/>
  <c r="G524" i="1"/>
  <c r="C525" i="1" a="1"/>
  <c r="C525" i="1" s="1"/>
  <c r="D525" i="1" a="1"/>
  <c r="D525" i="1" s="1"/>
  <c r="E525" i="1" a="1"/>
  <c r="E525" i="1" s="1"/>
  <c r="G525" i="1"/>
  <c r="E526" i="1" a="1"/>
  <c r="E526" i="1" s="1"/>
  <c r="G526" i="1"/>
  <c r="C527" i="1" a="1"/>
  <c r="C527" i="1" s="1"/>
  <c r="D527" i="1" a="1"/>
  <c r="D527" i="1" s="1"/>
  <c r="E527" i="1" a="1"/>
  <c r="E527" i="1" s="1"/>
  <c r="G527" i="1"/>
  <c r="C528" i="1" a="1"/>
  <c r="C528" i="1" s="1"/>
  <c r="D528" i="1" a="1"/>
  <c r="D528" i="1" s="1"/>
  <c r="E528" i="1" a="1"/>
  <c r="E528" i="1" s="1"/>
  <c r="G528" i="1"/>
  <c r="C529" i="1" a="1"/>
  <c r="C529" i="1" s="1"/>
  <c r="D529" i="1" a="1"/>
  <c r="D529" i="1" s="1"/>
  <c r="E529" i="1" a="1"/>
  <c r="E529" i="1" s="1"/>
  <c r="G529" i="1"/>
  <c r="C530" i="1" a="1"/>
  <c r="C530" i="1" s="1"/>
  <c r="D530" i="1" a="1"/>
  <c r="D530" i="1" s="1"/>
  <c r="E530" i="1" a="1"/>
  <c r="E530" i="1" s="1"/>
  <c r="G530" i="1"/>
  <c r="C531" i="1" a="1"/>
  <c r="C531" i="1" s="1"/>
  <c r="G531" i="1"/>
  <c r="E532" i="1" a="1"/>
  <c r="E532" i="1" s="1"/>
  <c r="G532" i="1"/>
  <c r="C533" i="1" a="1"/>
  <c r="C533" i="1" s="1"/>
  <c r="D533" i="1" a="1"/>
  <c r="D533" i="1" s="1"/>
  <c r="E533" i="1" a="1"/>
  <c r="E533" i="1" s="1"/>
  <c r="G533" i="1"/>
  <c r="E534" i="1" a="1"/>
  <c r="E534" i="1" s="1"/>
  <c r="G534" i="1"/>
  <c r="E535" i="1" a="1"/>
  <c r="E535" i="1" s="1"/>
  <c r="G535" i="1"/>
  <c r="E536" i="1" a="1"/>
  <c r="E536" i="1" s="1"/>
  <c r="G536" i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7" i="1" a="1"/>
  <c r="E77" i="1" s="1"/>
  <c r="E78" i="1" a="1"/>
  <c r="E78" i="1" s="1"/>
  <c r="E80" i="1" a="1"/>
  <c r="E80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4" i="1" a="1"/>
  <c r="E414" i="1" s="1"/>
  <c r="E415" i="1" a="1"/>
  <c r="E415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2" i="1" a="1"/>
  <c r="E2" i="1" s="1"/>
  <c r="C44" i="1" a="1"/>
  <c r="C44" i="1" s="1"/>
  <c r="C45" i="1" a="1"/>
  <c r="C45" i="1" s="1"/>
  <c r="C46" i="1" a="1"/>
  <c r="C46" i="1" s="1"/>
  <c r="C47" i="1" a="1"/>
  <c r="C47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5" i="1" a="1"/>
  <c r="C55" i="1" s="1"/>
  <c r="C56" i="1" a="1"/>
  <c r="C56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7" i="1" a="1"/>
  <c r="C87" i="1" s="1"/>
  <c r="C89" i="1" a="1"/>
  <c r="C89" i="1" s="1"/>
  <c r="C91" i="1" a="1"/>
  <c r="C91" i="1" s="1"/>
  <c r="C92" i="1" a="1"/>
  <c r="C92" i="1" s="1"/>
  <c r="C93" i="1" a="1"/>
  <c r="C93" i="1" s="1"/>
  <c r="C95" i="1" a="1"/>
  <c r="C95" i="1" s="1"/>
  <c r="C96" i="1" a="1"/>
  <c r="C96" i="1" s="1"/>
  <c r="C97" i="1" a="1"/>
  <c r="C97" i="1" s="1"/>
  <c r="C99" i="1" a="1"/>
  <c r="C99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7" i="1" a="1"/>
  <c r="C117" i="1" s="1"/>
  <c r="C119" i="1" a="1"/>
  <c r="C119" i="1" s="1"/>
  <c r="C120" i="1" a="1"/>
  <c r="C120" i="1" s="1"/>
  <c r="C123" i="1" a="1"/>
  <c r="C123" i="1" s="1"/>
  <c r="C124" i="1" a="1"/>
  <c r="C124" i="1" s="1"/>
  <c r="C125" i="1" a="1"/>
  <c r="C125" i="1" s="1"/>
  <c r="C126" i="1" a="1"/>
  <c r="C126" i="1" s="1"/>
  <c r="C128" i="1" a="1"/>
  <c r="C128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4" i="1" a="1"/>
  <c r="C184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4" i="1" a="1"/>
  <c r="C194" i="1" s="1"/>
  <c r="C195" i="1" a="1"/>
  <c r="C195" i="1" s="1"/>
  <c r="C197" i="1" a="1"/>
  <c r="C197" i="1" s="1"/>
  <c r="C198" i="1" a="1"/>
  <c r="C198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2" i="1" a="1"/>
  <c r="C222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5" i="1" a="1"/>
  <c r="C265" i="1" s="1"/>
  <c r="C267" i="1" a="1"/>
  <c r="C267" i="1" s="1"/>
  <c r="C268" i="1" a="1"/>
  <c r="C268" i="1" s="1"/>
  <c r="C269" i="1" a="1"/>
  <c r="C269" i="1" s="1"/>
  <c r="C271" i="1" a="1"/>
  <c r="C271" i="1" s="1"/>
  <c r="C273" i="1" a="1"/>
  <c r="C273" i="1" s="1"/>
  <c r="C274" i="1" a="1"/>
  <c r="C274" i="1" s="1"/>
  <c r="C275" i="1" a="1"/>
  <c r="C275" i="1" s="1"/>
  <c r="C276" i="1" a="1"/>
  <c r="C276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6" i="1" a="1"/>
  <c r="C286" i="1" s="1"/>
  <c r="C288" i="1" a="1"/>
  <c r="C288" i="1" s="1"/>
  <c r="C290" i="1" a="1"/>
  <c r="C290" i="1" s="1"/>
  <c r="C292" i="1" a="1"/>
  <c r="C292" i="1" s="1"/>
  <c r="C293" i="1" a="1"/>
  <c r="C293" i="1" s="1"/>
  <c r="C294" i="1" a="1"/>
  <c r="C294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7" i="1" a="1"/>
  <c r="C317" i="1" s="1"/>
  <c r="C318" i="1" a="1"/>
  <c r="C318" i="1" s="1"/>
  <c r="C319" i="1" a="1"/>
  <c r="C319" i="1" s="1"/>
  <c r="C321" i="1" a="1"/>
  <c r="C321" i="1" s="1"/>
  <c r="C322" i="1" a="1"/>
  <c r="C322" i="1" s="1"/>
  <c r="C323" i="1" a="1"/>
  <c r="C323" i="1" s="1"/>
  <c r="C324" i="1" a="1"/>
  <c r="C324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4" i="1" a="1"/>
  <c r="C334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9" i="1" a="1"/>
  <c r="C379" i="1" s="1"/>
  <c r="C380" i="1" a="1"/>
  <c r="C380" i="1" s="1"/>
  <c r="C381" i="1" a="1"/>
  <c r="C381" i="1" s="1"/>
  <c r="C382" i="1" a="1"/>
  <c r="C382" i="1" s="1"/>
  <c r="C384" i="1" a="1"/>
  <c r="C384" i="1" s="1"/>
  <c r="C387" i="1" a="1"/>
  <c r="C387" i="1" s="1"/>
  <c r="C388" i="1" a="1"/>
  <c r="C388" i="1" s="1"/>
  <c r="C394" i="1" a="1"/>
  <c r="C394" i="1" s="1"/>
  <c r="C396" i="1" a="1"/>
  <c r="C396" i="1" s="1"/>
  <c r="C397" i="1" a="1"/>
  <c r="C397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10" i="1" a="1"/>
  <c r="C410" i="1" s="1"/>
  <c r="C411" i="1" a="1"/>
  <c r="C411" i="1" s="1"/>
  <c r="C413" i="1" a="1"/>
  <c r="C413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8" i="1" a="1"/>
  <c r="C438" i="1" s="1"/>
  <c r="C439" i="1" a="1"/>
  <c r="C439" i="1" s="1"/>
  <c r="C441" i="1" a="1"/>
  <c r="C441" i="1" s="1"/>
  <c r="C443" i="1" a="1"/>
  <c r="C443" i="1" s="1"/>
  <c r="C444" i="1" a="1"/>
  <c r="C444" i="1" s="1"/>
  <c r="C445" i="1" a="1"/>
  <c r="C445" i="1" s="1"/>
  <c r="C446" i="1" a="1"/>
  <c r="C446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5" i="1" a="1"/>
  <c r="C455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4" i="1" a="1"/>
  <c r="C464" i="1" s="1"/>
  <c r="C465" i="1" a="1"/>
  <c r="C465" i="1" s="1"/>
  <c r="C467" i="1" a="1"/>
  <c r="C467" i="1" s="1"/>
  <c r="C469" i="1" a="1"/>
  <c r="C469" i="1" s="1"/>
  <c r="C470" i="1" a="1"/>
  <c r="C470" i="1" s="1"/>
  <c r="C471" i="1" a="1"/>
  <c r="C471" i="1" s="1"/>
  <c r="C472" i="1" a="1"/>
  <c r="C472" i="1" s="1"/>
  <c r="C475" i="1" a="1"/>
  <c r="C475" i="1" s="1"/>
  <c r="C477" i="1" a="1"/>
  <c r="C477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5" i="1" a="1"/>
  <c r="C485" i="1" s="1"/>
  <c r="C487" i="1" a="1"/>
  <c r="C487" i="1" s="1"/>
  <c r="C488" i="1" a="1"/>
  <c r="C488" i="1" s="1"/>
  <c r="C489" i="1" a="1"/>
  <c r="C489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8" i="1" a="1"/>
  <c r="C498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3" i="1" a="1"/>
  <c r="C3" i="1" s="1"/>
  <c r="C4" i="1" a="1"/>
  <c r="C4" i="1" s="1"/>
  <c r="C5" i="1" a="1"/>
  <c r="C5" i="1" s="1"/>
  <c r="C6" i="1" a="1"/>
  <c r="C6" i="1" s="1"/>
  <c r="C8" i="1" a="1"/>
  <c r="C8" i="1" s="1"/>
  <c r="C9" i="1" a="1"/>
  <c r="C9" i="1" s="1"/>
  <c r="C10" i="1" a="1"/>
  <c r="C10" i="1" s="1"/>
  <c r="C12" i="1" a="1"/>
  <c r="C12" i="1" s="1"/>
  <c r="C13" i="1" a="1"/>
  <c r="C13" i="1" s="1"/>
  <c r="C14" i="1" a="1"/>
  <c r="C14" i="1" s="1"/>
  <c r="C15" i="1" a="1"/>
  <c r="C15" i="1" s="1"/>
  <c r="C17" i="1" a="1"/>
  <c r="C17" i="1" s="1"/>
  <c r="C20" i="1" a="1"/>
  <c r="C20" i="1" s="1"/>
  <c r="C21" i="1" a="1"/>
  <c r="C21" i="1" s="1"/>
  <c r="C24" i="1" a="1"/>
  <c r="C24" i="1" s="1"/>
  <c r="C25" i="1" a="1"/>
  <c r="C25" i="1" s="1"/>
  <c r="C26" i="1" a="1"/>
  <c r="C26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2" i="1" a="1"/>
  <c r="C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2" i="1"/>
  <c r="D41" i="1" a="1"/>
  <c r="D41" i="1" s="1"/>
  <c r="D45" i="1" a="1"/>
  <c r="D45" i="1" s="1"/>
  <c r="D47" i="1" a="1"/>
  <c r="D47" i="1" s="1"/>
  <c r="D51" i="1" a="1"/>
  <c r="D51" i="1" s="1"/>
  <c r="D52" i="1" a="1"/>
  <c r="D52" i="1" s="1"/>
  <c r="D55" i="1" a="1"/>
  <c r="D55" i="1" s="1"/>
  <c r="D56" i="1" a="1"/>
  <c r="D56" i="1" s="1"/>
  <c r="D59" i="1" a="1"/>
  <c r="D59" i="1" s="1"/>
  <c r="D60" i="1" a="1"/>
  <c r="D60" i="1" s="1"/>
  <c r="D66" i="1" a="1"/>
  <c r="D66" i="1" s="1"/>
  <c r="D67" i="1" a="1"/>
  <c r="D67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8" i="1" a="1"/>
  <c r="D78" i="1" s="1"/>
  <c r="D79" i="1" a="1"/>
  <c r="D79" i="1" s="1"/>
  <c r="D80" i="1" a="1"/>
  <c r="D80" i="1" s="1"/>
  <c r="D83" i="1" a="1"/>
  <c r="D83" i="1" s="1"/>
  <c r="D84" i="1" a="1"/>
  <c r="D84" i="1" s="1"/>
  <c r="D89" i="1" a="1"/>
  <c r="D89" i="1" s="1"/>
  <c r="D92" i="1" a="1"/>
  <c r="D92" i="1" s="1"/>
  <c r="D93" i="1" a="1"/>
  <c r="D93" i="1" s="1"/>
  <c r="D95" i="1" a="1"/>
  <c r="D95" i="1" s="1"/>
  <c r="D99" i="1" a="1"/>
  <c r="D99" i="1" s="1"/>
  <c r="D102" i="1" a="1"/>
  <c r="D102" i="1" s="1"/>
  <c r="D104" i="1" a="1"/>
  <c r="D104" i="1" s="1"/>
  <c r="D105" i="1" a="1"/>
  <c r="D105" i="1" s="1"/>
  <c r="D107" i="1" a="1"/>
  <c r="D107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9" i="1" a="1"/>
  <c r="D119" i="1" s="1"/>
  <c r="D123" i="1" a="1"/>
  <c r="D123" i="1" s="1"/>
  <c r="D124" i="1" a="1"/>
  <c r="D124" i="1" s="1"/>
  <c r="D125" i="1" a="1"/>
  <c r="D125" i="1" s="1"/>
  <c r="D131" i="1" a="1"/>
  <c r="D131" i="1" s="1"/>
  <c r="D134" i="1" a="1"/>
  <c r="D134" i="1" s="1"/>
  <c r="D136" i="1" a="1"/>
  <c r="D136" i="1" s="1"/>
  <c r="D138" i="1" a="1"/>
  <c r="D138" i="1" s="1"/>
  <c r="D139" i="1" a="1"/>
  <c r="D139" i="1" s="1"/>
  <c r="D141" i="1" a="1"/>
  <c r="D141" i="1" s="1"/>
  <c r="D142" i="1" a="1"/>
  <c r="D142" i="1" s="1"/>
  <c r="D143" i="1" a="1"/>
  <c r="D143" i="1" s="1"/>
  <c r="D144" i="1" a="1"/>
  <c r="D144" i="1" s="1"/>
  <c r="D146" i="1" a="1"/>
  <c r="D146" i="1" s="1"/>
  <c r="D147" i="1" a="1"/>
  <c r="D147" i="1" s="1"/>
  <c r="D148" i="1" a="1"/>
  <c r="D148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8" i="1" a="1"/>
  <c r="D178" i="1" s="1"/>
  <c r="D179" i="1" a="1"/>
  <c r="D179" i="1" s="1"/>
  <c r="D181" i="1" a="1"/>
  <c r="D181" i="1" s="1"/>
  <c r="D182" i="1" a="1"/>
  <c r="D182" i="1" s="1"/>
  <c r="D187" i="1" a="1"/>
  <c r="D187" i="1" s="1"/>
  <c r="D188" i="1" a="1"/>
  <c r="D188" i="1" s="1"/>
  <c r="D189" i="1" a="1"/>
  <c r="D189" i="1" s="1"/>
  <c r="D194" i="1" a="1"/>
  <c r="D194" i="1" s="1"/>
  <c r="D198" i="1" a="1"/>
  <c r="D198" i="1" s="1"/>
  <c r="D201" i="1" a="1"/>
  <c r="D201" i="1" s="1"/>
  <c r="D202" i="1" a="1"/>
  <c r="D202" i="1" s="1"/>
  <c r="D203" i="1" a="1"/>
  <c r="D203" i="1" s="1"/>
  <c r="D204" i="1" a="1"/>
  <c r="D204" i="1" s="1"/>
  <c r="D209" i="1" a="1"/>
  <c r="D209" i="1" s="1"/>
  <c r="D210" i="1" a="1"/>
  <c r="D210" i="1" s="1"/>
  <c r="D213" i="1" a="1"/>
  <c r="D213" i="1" s="1"/>
  <c r="D214" i="1" a="1"/>
  <c r="D214" i="1" s="1"/>
  <c r="D216" i="1" a="1"/>
  <c r="D216" i="1" s="1"/>
  <c r="D217" i="1" a="1"/>
  <c r="D217" i="1" s="1"/>
  <c r="D218" i="1" a="1"/>
  <c r="D218" i="1" s="1"/>
  <c r="D219" i="1" a="1"/>
  <c r="D219" i="1" s="1"/>
  <c r="D227" i="1" a="1"/>
  <c r="D227" i="1" s="1"/>
  <c r="D237" i="1" a="1"/>
  <c r="D237" i="1" s="1"/>
  <c r="D238" i="1" a="1"/>
  <c r="D238" i="1" s="1"/>
  <c r="D239" i="1" a="1"/>
  <c r="D239" i="1" s="1"/>
  <c r="D241" i="1" a="1"/>
  <c r="D241" i="1" s="1"/>
  <c r="D244" i="1" a="1"/>
  <c r="D244" i="1" s="1"/>
  <c r="D248" i="1" a="1"/>
  <c r="D248" i="1" s="1"/>
  <c r="D250" i="1" a="1"/>
  <c r="D250" i="1" s="1"/>
  <c r="D251" i="1" a="1"/>
  <c r="D251" i="1" s="1"/>
  <c r="D252" i="1" a="1"/>
  <c r="D252" i="1" s="1"/>
  <c r="D254" i="1" a="1"/>
  <c r="D254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8" i="1" a="1"/>
  <c r="D268" i="1" s="1"/>
  <c r="D271" i="1" a="1"/>
  <c r="D271" i="1" s="1"/>
  <c r="D274" i="1" a="1"/>
  <c r="D274" i="1" s="1"/>
  <c r="D276" i="1" a="1"/>
  <c r="D276" i="1" s="1"/>
  <c r="D278" i="1" a="1"/>
  <c r="D278" i="1" s="1"/>
  <c r="D279" i="1" a="1"/>
  <c r="D279" i="1" s="1"/>
  <c r="D280" i="1" a="1"/>
  <c r="D280" i="1" s="1"/>
  <c r="D281" i="1" a="1"/>
  <c r="D281" i="1" s="1"/>
  <c r="D286" i="1" a="1"/>
  <c r="D286" i="1" s="1"/>
  <c r="D290" i="1" a="1"/>
  <c r="D290" i="1" s="1"/>
  <c r="D292" i="1" a="1"/>
  <c r="D292" i="1" s="1"/>
  <c r="D293" i="1" a="1"/>
  <c r="D293" i="1" s="1"/>
  <c r="D294" i="1" a="1"/>
  <c r="D294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2" i="1" a="1"/>
  <c r="D302" i="1" s="1"/>
  <c r="D303" i="1" a="1"/>
  <c r="D303" i="1" s="1"/>
  <c r="D304" i="1" a="1"/>
  <c r="D304" i="1" s="1"/>
  <c r="D307" i="1" a="1"/>
  <c r="D307" i="1" s="1"/>
  <c r="D313" i="1" a="1"/>
  <c r="D313" i="1" s="1"/>
  <c r="D314" i="1" a="1"/>
  <c r="D314" i="1" s="1"/>
  <c r="D318" i="1" a="1"/>
  <c r="D318" i="1" s="1"/>
  <c r="D319" i="1" a="1"/>
  <c r="D319" i="1" s="1"/>
  <c r="D321" i="1" a="1"/>
  <c r="D321" i="1" s="1"/>
  <c r="D322" i="1" a="1"/>
  <c r="D322" i="1" s="1"/>
  <c r="D323" i="1" a="1"/>
  <c r="D323" i="1" s="1"/>
  <c r="D324" i="1" a="1"/>
  <c r="D324" i="1" s="1"/>
  <c r="D326" i="1" a="1"/>
  <c r="D326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6" i="1" a="1"/>
  <c r="D336" i="1" s="1"/>
  <c r="D338" i="1" a="1"/>
  <c r="D338" i="1" s="1"/>
  <c r="D339" i="1" a="1"/>
  <c r="D339" i="1" s="1"/>
  <c r="D340" i="1" a="1"/>
  <c r="D340" i="1" s="1"/>
  <c r="D341" i="1" a="1"/>
  <c r="D341" i="1" s="1"/>
  <c r="D343" i="1" a="1"/>
  <c r="D343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9" i="1" a="1"/>
  <c r="D369" i="1" s="1"/>
  <c r="D373" i="1" a="1"/>
  <c r="D373" i="1" s="1"/>
  <c r="D375" i="1" a="1"/>
  <c r="D375" i="1" s="1"/>
  <c r="D377" i="1" a="1"/>
  <c r="D377" i="1" s="1"/>
  <c r="D379" i="1" a="1"/>
  <c r="D379" i="1" s="1"/>
  <c r="D382" i="1" a="1"/>
  <c r="D382" i="1" s="1"/>
  <c r="D387" i="1" a="1"/>
  <c r="D387" i="1" s="1"/>
  <c r="D388" i="1" a="1"/>
  <c r="D388" i="1" s="1"/>
  <c r="D396" i="1" a="1"/>
  <c r="D396" i="1" s="1"/>
  <c r="D400" i="1" a="1"/>
  <c r="D400" i="1" s="1"/>
  <c r="D401" i="1" a="1"/>
  <c r="D401" i="1" s="1"/>
  <c r="D402" i="1" a="1"/>
  <c r="D402" i="1" s="1"/>
  <c r="D403" i="1" a="1"/>
  <c r="D403" i="1" s="1"/>
  <c r="D405" i="1" a="1"/>
  <c r="D405" i="1" s="1"/>
  <c r="D406" i="1" a="1"/>
  <c r="D406" i="1" s="1"/>
  <c r="D408" i="1" a="1"/>
  <c r="D408" i="1" s="1"/>
  <c r="D410" i="1" a="1"/>
  <c r="D410" i="1" s="1"/>
  <c r="D413" i="1" a="1"/>
  <c r="D413" i="1" s="1"/>
  <c r="D417" i="1" a="1"/>
  <c r="D417" i="1" s="1"/>
  <c r="D421" i="1" a="1"/>
  <c r="D421" i="1" s="1"/>
  <c r="D422" i="1" a="1"/>
  <c r="D422" i="1" s="1"/>
  <c r="D423" i="1" a="1"/>
  <c r="D423" i="1" s="1"/>
  <c r="D424" i="1" a="1"/>
  <c r="D424" i="1" s="1"/>
  <c r="D426" i="1" a="1"/>
  <c r="D426" i="1" s="1"/>
  <c r="D427" i="1" a="1"/>
  <c r="D427" i="1" s="1"/>
  <c r="D429" i="1" a="1"/>
  <c r="D429" i="1" s="1"/>
  <c r="D430" i="1" a="1"/>
  <c r="D430" i="1" s="1"/>
  <c r="D431" i="1" a="1"/>
  <c r="D431" i="1" s="1"/>
  <c r="D432" i="1" a="1"/>
  <c r="D432" i="1" s="1"/>
  <c r="D434" i="1" a="1"/>
  <c r="D434" i="1" s="1"/>
  <c r="D435" i="1" a="1"/>
  <c r="D435" i="1" s="1"/>
  <c r="D438" i="1" a="1"/>
  <c r="D438" i="1" s="1"/>
  <c r="D439" i="1" a="1"/>
  <c r="D439" i="1" s="1"/>
  <c r="D441" i="1" a="1"/>
  <c r="D441" i="1" s="1"/>
  <c r="D443" i="1" a="1"/>
  <c r="D443" i="1" s="1"/>
  <c r="D444" i="1" a="1"/>
  <c r="D444" i="1" s="1"/>
  <c r="D445" i="1" a="1"/>
  <c r="D445" i="1" s="1"/>
  <c r="D446" i="1" a="1"/>
  <c r="D446" i="1" s="1"/>
  <c r="D448" i="1" a="1"/>
  <c r="D448" i="1" s="1"/>
  <c r="D449" i="1" a="1"/>
  <c r="D449" i="1" s="1"/>
  <c r="D450" i="1" a="1"/>
  <c r="D450" i="1" s="1"/>
  <c r="D451" i="1" a="1"/>
  <c r="D451" i="1" s="1"/>
  <c r="D453" i="1" a="1"/>
  <c r="D453" i="1" s="1"/>
  <c r="D460" i="1" a="1"/>
  <c r="D460" i="1" s="1"/>
  <c r="D462" i="1" a="1"/>
  <c r="D462" i="1" s="1"/>
  <c r="D464" i="1" a="1"/>
  <c r="D464" i="1" s="1"/>
  <c r="D465" i="1" a="1"/>
  <c r="D465" i="1" s="1"/>
  <c r="D469" i="1" a="1"/>
  <c r="D469" i="1" s="1"/>
  <c r="D485" i="1" a="1"/>
  <c r="D485" i="1" s="1"/>
  <c r="D487" i="1" a="1"/>
  <c r="D487" i="1" s="1"/>
  <c r="D488" i="1" a="1"/>
  <c r="D488" i="1" s="1"/>
  <c r="D489" i="1" a="1"/>
  <c r="D489" i="1" s="1"/>
  <c r="D491" i="1" a="1"/>
  <c r="D491" i="1" s="1"/>
  <c r="D492" i="1" a="1"/>
  <c r="D492" i="1" s="1"/>
  <c r="D494" i="1" a="1"/>
  <c r="D494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10" i="1" a="1"/>
  <c r="D510" i="1" s="1"/>
  <c r="D511" i="1" a="1"/>
  <c r="D511" i="1" s="1"/>
  <c r="D512" i="1" a="1"/>
  <c r="D512" i="1" s="1"/>
  <c r="D3" i="1" a="1"/>
  <c r="D3" i="1" s="1"/>
  <c r="D4" i="1" a="1"/>
  <c r="D4" i="1" s="1"/>
  <c r="D5" i="1" a="1"/>
  <c r="D5" i="1" s="1"/>
  <c r="D6" i="1" a="1"/>
  <c r="D6" i="1" s="1"/>
  <c r="D8" i="1" a="1"/>
  <c r="D8" i="1" s="1"/>
  <c r="D9" i="1" a="1"/>
  <c r="D9" i="1" s="1"/>
  <c r="D24" i="1" a="1"/>
  <c r="D24" i="1" s="1"/>
  <c r="D25" i="1" a="1"/>
  <c r="D25" i="1" s="1"/>
  <c r="D26" i="1" a="1"/>
  <c r="D26" i="1" s="1"/>
  <c r="D32" i="1" a="1"/>
  <c r="D32" i="1" s="1"/>
  <c r="D2" i="1" a="1"/>
  <c r="D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<sst xmlns="http://schemas.openxmlformats.org/spreadsheetml/2006/main" count="3149" uniqueCount="1285">
  <si>
    <t>DocID</t>
  </si>
  <si>
    <t>Title</t>
  </si>
  <si>
    <t>MainCategory</t>
  </si>
  <si>
    <t>Category</t>
  </si>
  <si>
    <t>Generation</t>
  </si>
  <si>
    <t>Skip</t>
  </si>
  <si>
    <t>URL</t>
  </si>
  <si>
    <t>c06002143</t>
  </si>
  <si>
    <t>WW RPO - HP Value Barcode Scanner - 9/19 - EN</t>
  </si>
  <si>
    <t>Yes</t>
  </si>
  <si>
    <t>c05935170</t>
  </si>
  <si>
    <t>WW NB - HP ProBook 640 G4 - 01/19 - EN</t>
  </si>
  <si>
    <t>c05935171</t>
  </si>
  <si>
    <t>WW NB - HP ProBook 650 G4 - 1/19 - EN</t>
  </si>
  <si>
    <t>c06907936</t>
  </si>
  <si>
    <t>HP ProBook 635 Aero G7 Notebook PC</t>
  </si>
  <si>
    <t>c06951538</t>
  </si>
  <si>
    <t>HP Pro c645 Chromebook</t>
  </si>
  <si>
    <t>c06523874</t>
  </si>
  <si>
    <t>HP 268 Pro G1 MT</t>
  </si>
  <si>
    <t>Desktops</t>
  </si>
  <si>
    <t>200 Series</t>
  </si>
  <si>
    <t>c07833187</t>
  </si>
  <si>
    <t>Epson TM-T20IIIL Thermal Receipt Printer</t>
  </si>
  <si>
    <t>c07028700</t>
  </si>
  <si>
    <t>HP Pro c640 G2 Chromebook Enterprise</t>
  </si>
  <si>
    <t>c08142928</t>
  </si>
  <si>
    <t>HP Z24m G3 QHD Conferencing Display</t>
  </si>
  <si>
    <t>Z Displays</t>
  </si>
  <si>
    <t>c06636833</t>
  </si>
  <si>
    <t>HP 290 G3 Small Form Factor Business PC</t>
  </si>
  <si>
    <t>c04984422</t>
  </si>
  <si>
    <t>HP t630 Thin Client</t>
  </si>
  <si>
    <t>c04957273</t>
  </si>
  <si>
    <t>HP t628 Thin Client</t>
  </si>
  <si>
    <t>c05561757</t>
  </si>
  <si>
    <t>HP mt21 Mobile Thin Client</t>
  </si>
  <si>
    <t>c05105339</t>
  </si>
  <si>
    <t>Networking Adapters for Workstation Quickspecs</t>
  </si>
  <si>
    <t>c06457771</t>
  </si>
  <si>
    <t>WW PB - HP 470 G7 Notebook PC - 09/27 - EN</t>
  </si>
  <si>
    <t>Notebooks</t>
  </si>
  <si>
    <t>Probook</t>
  </si>
  <si>
    <t>c07048012</t>
  </si>
  <si>
    <t>HP EliteDesk 800 G8 and HP EliteOne 800 G8 Desktops PCs</t>
  </si>
  <si>
    <t>c06774625</t>
  </si>
  <si>
    <t>DDR4-2666Mhz Memory Cards for Business Notebooks</t>
  </si>
  <si>
    <t>Accessories</t>
  </si>
  <si>
    <t>c06057951</t>
  </si>
  <si>
    <t>HP Rechargeable Active Pen</t>
  </si>
  <si>
    <t>c06220112</t>
  </si>
  <si>
    <t>AMD Radeon R7 430 2GB DisplayPort™ VGA Card</t>
  </si>
  <si>
    <t>c06471245</t>
  </si>
  <si>
    <t>HP Desktop Pro A G3</t>
  </si>
  <si>
    <t>c06133533</t>
  </si>
  <si>
    <t>HP Elite Slice G2 - Audio Ready with Microsoft Teams Rooms</t>
  </si>
  <si>
    <t>Slice</t>
  </si>
  <si>
    <t>c06113165</t>
  </si>
  <si>
    <t>HP Thunderbolt-3 Dual Port PCIe I/O Card</t>
  </si>
  <si>
    <t>Workstations</t>
  </si>
  <si>
    <t>c07000417</t>
  </si>
  <si>
    <t>HP ProBook x360 11 G7 Education Edition</t>
  </si>
  <si>
    <t>c06647615</t>
  </si>
  <si>
    <t>HP ZBook Firefly 14 G7 Mobile Workstation</t>
  </si>
  <si>
    <t>c06647621</t>
  </si>
  <si>
    <t>HP ZBook Firefly 15 G7 Mobile Workstation</t>
  </si>
  <si>
    <t>c08701375</t>
  </si>
  <si>
    <t>HP Z Turbo Dual Pro PCIe-4x8 Carrier</t>
  </si>
  <si>
    <t>c06227520</t>
  </si>
  <si>
    <t>HP Reverb Virtual Reality Headset - Professional Edition</t>
  </si>
  <si>
    <t>VR</t>
  </si>
  <si>
    <t>c06102441</t>
  </si>
  <si>
    <t>VIVE Pro VR System with Advantage+Service Pack</t>
  </si>
  <si>
    <t>c07068977</t>
  </si>
  <si>
    <t>HP P22vb G4 FHD Monitor</t>
  </si>
  <si>
    <t>Pro Displays</t>
  </si>
  <si>
    <t>c07072827</t>
  </si>
  <si>
    <t>HP Engage One Pro Barcode Scanner</t>
  </si>
  <si>
    <t>Scanner</t>
  </si>
  <si>
    <t>c06002139</t>
  </si>
  <si>
    <t>HP Value Thermal Receipt Printer</t>
  </si>
  <si>
    <t>c08747764</t>
  </si>
  <si>
    <t>HP Z24u G3 WUXGA USB-C Display</t>
  </si>
  <si>
    <t>c08392793</t>
  </si>
  <si>
    <t>HP E24 G5 FHD Monitor</t>
  </si>
  <si>
    <t>Elite Displays</t>
  </si>
  <si>
    <t>c06137581</t>
  </si>
  <si>
    <t>HP ZHAN 99 Mobile Workstation</t>
  </si>
  <si>
    <t>Mobile Workstations</t>
  </si>
  <si>
    <t>ZHAN</t>
  </si>
  <si>
    <t>c06718497</t>
  </si>
  <si>
    <t>HP Z1 Entry Tower G6</t>
  </si>
  <si>
    <t>Workstation</t>
  </si>
  <si>
    <t>c06208538</t>
  </si>
  <si>
    <t>HP Engage One Prime Cash Drawer</t>
  </si>
  <si>
    <t>Cash Drawer</t>
  </si>
  <si>
    <t>c07606978</t>
  </si>
  <si>
    <t>HP P24a G4 FHD Monitor</t>
  </si>
  <si>
    <t>c06790038</t>
  </si>
  <si>
    <t>HP E14 G4 Portable Monitor</t>
  </si>
  <si>
    <t>c06631165</t>
  </si>
  <si>
    <t>WW DIS HP P24v G4 FHD Monitor - 05/05 - EN</t>
  </si>
  <si>
    <t>c06887416</t>
  </si>
  <si>
    <t>HP ZBook Fury 15 G7 Mobile Workstation</t>
  </si>
  <si>
    <t>c06275004</t>
  </si>
  <si>
    <t>WW DIS - HP P204v 19.5-inch Monitor - 03/26 - EN</t>
  </si>
  <si>
    <t>c06489909</t>
  </si>
  <si>
    <t>WW DIS - HP E24d G4 FHD USB-C Docking Monitor - 11/05 - EN</t>
  </si>
  <si>
    <t>Displays</t>
  </si>
  <si>
    <t>c06724012</t>
  </si>
  <si>
    <t>HP Z2 Mini G5 Workstation</t>
  </si>
  <si>
    <t>c05389396</t>
  </si>
  <si>
    <t>HP EliteOne G3 800 AIO Recline Stand</t>
  </si>
  <si>
    <t>c06724394</t>
  </si>
  <si>
    <t>HP P24 G4 Monitor</t>
  </si>
  <si>
    <t>c06710300</t>
  </si>
  <si>
    <t>HP ZBook Create G7 Notebook PC</t>
  </si>
  <si>
    <t>c04798669</t>
  </si>
  <si>
    <t>HP Z Turbo Quad Pro and Dual Pro</t>
  </si>
  <si>
    <t>c08392794</t>
  </si>
  <si>
    <t>HP E24t G5 FHD Touch Monitor</t>
  </si>
  <si>
    <t>c08733836</t>
  </si>
  <si>
    <t>HP P22b G5 FHD Monitor</t>
  </si>
  <si>
    <t>c06305129</t>
  </si>
  <si>
    <t>HP ZBook 17 G6 Mobile Workstation</t>
  </si>
  <si>
    <t>c06208782</t>
  </si>
  <si>
    <t>HP Engage One Prime</t>
  </si>
  <si>
    <t>c08262305</t>
  </si>
  <si>
    <t>HP P24 G5 FHD Monitor</t>
  </si>
  <si>
    <t>c08689018</t>
  </si>
  <si>
    <t>HP ZHAN 99 Pro 23.8 inch G9 All-in-One Desktop PC</t>
  </si>
  <si>
    <t>c08148468</t>
  </si>
  <si>
    <t>HP ZBook 200W Slim Smart 4.5mm AC Adapter</t>
  </si>
  <si>
    <t>c08339701</t>
  </si>
  <si>
    <t>HP USB-C G5 Essential Dock</t>
  </si>
  <si>
    <t>c07087546</t>
  </si>
  <si>
    <t>HP 200 G8 21 All-in-One PC</t>
  </si>
  <si>
    <t>c04200260</t>
  </si>
  <si>
    <t>PCIe Solid State Drives for HP Workstations</t>
  </si>
  <si>
    <t>c09037963</t>
  </si>
  <si>
    <t>HP Series 5 Pro 23.8 inch FHD USB-C Monitor - 524pu</t>
  </si>
  <si>
    <t>c08626170</t>
  </si>
  <si>
    <t>HP Chromebox Enterprise G4</t>
  </si>
  <si>
    <t>c07072088</t>
  </si>
  <si>
    <t>HP Engage 6.6 inch Pole Display</t>
  </si>
  <si>
    <t>Display</t>
  </si>
  <si>
    <t>c06721769</t>
  </si>
  <si>
    <t>HP WIRED DESKTOP 320K KEYBOARD</t>
  </si>
  <si>
    <t>c07072832</t>
  </si>
  <si>
    <t>HP Engage One Pro Magnetic Stripe Reader</t>
  </si>
  <si>
    <t>Reader</t>
  </si>
  <si>
    <t>c09112465</t>
  </si>
  <si>
    <t>OMEN 27 inch QHD 165Hz Gaming Monitor-OMEN 27qz</t>
  </si>
  <si>
    <t>Omen</t>
  </si>
  <si>
    <t>c04140720</t>
  </si>
  <si>
    <t>HP POS Keyboard with Touchpad</t>
  </si>
  <si>
    <t>RIS</t>
  </si>
  <si>
    <t>c08007804</t>
  </si>
  <si>
    <t>HP ProBook 440 14 inch G9 Notebook PC</t>
  </si>
  <si>
    <t>c06034418</t>
  </si>
  <si>
    <t>HP EliteDesk 800 G4 Workstation Edition</t>
  </si>
  <si>
    <t>c05987463</t>
  </si>
  <si>
    <t>HP Z2 Tower G4 Workstation</t>
  </si>
  <si>
    <t>c08487724</t>
  </si>
  <si>
    <t>HP EliteBook 860 16 inch G10 Notebook PC</t>
  </si>
  <si>
    <t>c08438687</t>
  </si>
  <si>
    <t>HP EliteBook 645 14 inch G10 Notebook PC</t>
  </si>
  <si>
    <t>c08152871</t>
  </si>
  <si>
    <t>HP Elite c640 14 inch G3 Chromebook</t>
  </si>
  <si>
    <t>c06977947</t>
  </si>
  <si>
    <t>HP ZBook Firefly 15.6 Inch G8 Mobile Workstation</t>
  </si>
  <si>
    <t>c09073631</t>
  </si>
  <si>
    <t>HP Fortis Flip G1m 11 inch Chromebook</t>
  </si>
  <si>
    <t>c09073637</t>
  </si>
  <si>
    <t>HP Fortis G1i 14 inch Chromebook</t>
  </si>
  <si>
    <t>c09126888</t>
  </si>
  <si>
    <t>HP USB-C Dock G5, HP USB-C/A Universal Dock G2, HP 4.5 mm and USB-C Dock Adapter G2</t>
  </si>
  <si>
    <t>c09073638</t>
  </si>
  <si>
    <t>HP Chromebook G1m 11 inch</t>
  </si>
  <si>
    <t>G1m</t>
  </si>
  <si>
    <t>c08479496</t>
  </si>
  <si>
    <t>HP 250 15.6 inch G10 Notebook PC</t>
  </si>
  <si>
    <t>c08924023</t>
  </si>
  <si>
    <t>HP ZBook Firefly 14 inch G11 A Mobile Workstation PC</t>
  </si>
  <si>
    <t>c08480176</t>
  </si>
  <si>
    <t>HP Dragonfly 13.5 inch G4 Notebook PC</t>
  </si>
  <si>
    <t>c07538156</t>
  </si>
  <si>
    <t>HP Engage Flex Mini Retail System</t>
  </si>
  <si>
    <t>c09091538</t>
  </si>
  <si>
    <t>HP Engage One Pro G2 Integrated Barcode Scanner</t>
  </si>
  <si>
    <t>c08677229</t>
  </si>
  <si>
    <t>HP Pro Tower 200 G9 Desktop PC</t>
  </si>
  <si>
    <t>c08893149</t>
  </si>
  <si>
    <t>HP Series 7 Pro 34 inch WQHD Conferencing Monitor - 734pm</t>
  </si>
  <si>
    <t>c08820877</t>
  </si>
  <si>
    <t>HP Series 7 Pro 724pf</t>
  </si>
  <si>
    <t>c08479495</t>
  </si>
  <si>
    <t>HP 245 14 inch G10 Notebook PC</t>
  </si>
  <si>
    <t>c09119722</t>
  </si>
  <si>
    <t>HP ZBook Ultra 14 G1a Mobile Workstation PC"</t>
  </si>
  <si>
    <t>c08482306</t>
  </si>
  <si>
    <t>HP Z4 G5 Workstation</t>
  </si>
  <si>
    <t>c08894835</t>
  </si>
  <si>
    <t>HP 250R 15.6 inch G9 Notebook PC</t>
  </si>
  <si>
    <t>c07856867</t>
  </si>
  <si>
    <t>HP ProBook Fortis 14 inch G9</t>
  </si>
  <si>
    <t>c06208780</t>
  </si>
  <si>
    <t>HP Multi-Port +90w Power Supply</t>
  </si>
  <si>
    <t>c05693477</t>
  </si>
  <si>
    <t>HP Engage One 10.1 Inch Display</t>
  </si>
  <si>
    <t>c08487721</t>
  </si>
  <si>
    <t>HP EliteBook 830 13 inch G10 Notebook PC</t>
  </si>
  <si>
    <t>c09053142</t>
  </si>
  <si>
    <t>HP Series 5 Pro 27 inch QHD USB-C Conferencing Monitor - 527pm</t>
  </si>
  <si>
    <t>c08060889</t>
  </si>
  <si>
    <t>HP All-in-One Adjustable Height Stand</t>
  </si>
  <si>
    <t>c08580127</t>
  </si>
  <si>
    <t>HP ZBook Studio G10 Mobile Workstation PC</t>
  </si>
  <si>
    <t>c08481500</t>
  </si>
  <si>
    <t>HP Z8 Fury G5 Workstation</t>
  </si>
  <si>
    <t>c07718767</t>
  </si>
  <si>
    <t>HP E24m G4 FHD USB-C Conferencing Monitor</t>
  </si>
  <si>
    <t>c08487725</t>
  </si>
  <si>
    <t>HP Elite x360 830 13 inch G10 2-in-1 Notebook PC</t>
  </si>
  <si>
    <t>Elitebook</t>
  </si>
  <si>
    <t>c07949015</t>
  </si>
  <si>
    <t>HP ProBook 445 14 inch G9 Notebook PC</t>
  </si>
  <si>
    <t>c07020712</t>
  </si>
  <si>
    <t>HP 295 G8 Microtower PC</t>
  </si>
  <si>
    <t>c08677226</t>
  </si>
  <si>
    <t>HP Pro Tower 288 G9 PCI Desktop PC</t>
  </si>
  <si>
    <t>c09003644</t>
  </si>
  <si>
    <t>HP Series 5 Pro 27 QHD Monitor-527pq</t>
  </si>
  <si>
    <t>c06973545</t>
  </si>
  <si>
    <t>HP P34hc G4 WQHD USB-C Curved Monitor</t>
  </si>
  <si>
    <t>c08480164</t>
  </si>
  <si>
    <t>HP ProBook 440 14 inch G10 Notebook PC</t>
  </si>
  <si>
    <t>c08918347</t>
  </si>
  <si>
    <t>HP ZBook Firefly 16 inch G11 Mobile Workstation PC</t>
  </si>
  <si>
    <t>c08148300</t>
  </si>
  <si>
    <t>HP Elite Dragonfly 13.5 Chromebook Enterprise</t>
  </si>
  <si>
    <t>c08993016</t>
  </si>
  <si>
    <t>HP ZBook Studio 16 inch G11 Mobile Workstation PC</t>
  </si>
  <si>
    <t>c09146964</t>
  </si>
  <si>
    <t>HP Thunderbolt 4 100W TAA G6 Dock</t>
  </si>
  <si>
    <t>Thunderbolt</t>
  </si>
  <si>
    <t>c09146965</t>
  </si>
  <si>
    <t>HP Thunderbolt 4 Ultra 180W TAA G6 Dock</t>
  </si>
  <si>
    <t>Docks</t>
  </si>
  <si>
    <t>c09085195</t>
  </si>
  <si>
    <t>HP ZHAN 99 Pro Tower G1i Desktop AI PC</t>
  </si>
  <si>
    <t>c09085194</t>
  </si>
  <si>
    <t>HP ProDesk 2 Tower G1i E Desktop PC</t>
  </si>
  <si>
    <t>c09083467</t>
  </si>
  <si>
    <t>HP ProDesk 2 SFF G1i E Desktop PC</t>
  </si>
  <si>
    <t>c09085103</t>
  </si>
  <si>
    <t>HP ProDesk 2 Tower G1i Desktop PC</t>
  </si>
  <si>
    <t>c04168358</t>
  </si>
  <si>
    <t>HP Dock Solutions</t>
  </si>
  <si>
    <t>c08049273</t>
  </si>
  <si>
    <t>HP EliteBook 860 16 inch G9 Notebook PC</t>
  </si>
  <si>
    <t>c07722440</t>
  </si>
  <si>
    <t>HP 205 Pro G8 24 All-in-One PC</t>
  </si>
  <si>
    <t>c06922720</t>
  </si>
  <si>
    <t>HP E27q G4 QHD Monitor</t>
  </si>
  <si>
    <t>c04349129</t>
  </si>
  <si>
    <t>HP Privacy Filters for Business Notebook PCs</t>
  </si>
  <si>
    <t>c08202580</t>
  </si>
  <si>
    <t>HP ProOne 240 23.8 inch G9 All-in-One Desktop PC</t>
  </si>
  <si>
    <t>c08138918</t>
  </si>
  <si>
    <t>HP Z24q G3 QHD Display</t>
  </si>
  <si>
    <t>c08677219</t>
  </si>
  <si>
    <t>HP Mini IP Conferencing PC with Microsoft Teams Rooms</t>
  </si>
  <si>
    <t>c08094093</t>
  </si>
  <si>
    <t>HP Presence 23.8 inch &amp; 27 inch All-in-One Conferencing PC with Zoom Rooms</t>
  </si>
  <si>
    <t>Presence</t>
  </si>
  <si>
    <t>c08876530</t>
  </si>
  <si>
    <t>HP Series 7 Pro 724pn</t>
  </si>
  <si>
    <t>c06142921</t>
  </si>
  <si>
    <t>WW NB - HP ProBook 450 G6 Notebook PC - 09/13 - EN</t>
  </si>
  <si>
    <t>c08982819</t>
  </si>
  <si>
    <t>HP Series 3 Pro FHD Monitor- 324pf</t>
  </si>
  <si>
    <t>c05591685</t>
  </si>
  <si>
    <t>HP Z38c 37.5-inch Curved Display</t>
  </si>
  <si>
    <t>c06636832</t>
  </si>
  <si>
    <t>HP 280 G5 Small Form Factor Business PC</t>
  </si>
  <si>
    <t>c04808495</t>
  </si>
  <si>
    <t>DDR4 Memory for HP Business Desktop PCs</t>
  </si>
  <si>
    <t>c08570892</t>
  </si>
  <si>
    <t>HP Mini Conferencing PC with Microsoft Teams Rooms</t>
  </si>
  <si>
    <t>c06939061</t>
  </si>
  <si>
    <t>HP ZCentral 4R Workstation</t>
  </si>
  <si>
    <t>c09002401</t>
  </si>
  <si>
    <t>HP tz655 Trusted Zero Client</t>
  </si>
  <si>
    <t>c08345489</t>
  </si>
  <si>
    <t>HP Engage 15t XGA No Stand Monitor</t>
  </si>
  <si>
    <t>c07718766</t>
  </si>
  <si>
    <t>HP E27m G4 QHD USB-C Conferencing Monitor</t>
  </si>
  <si>
    <t>c06393061</t>
  </si>
  <si>
    <t>HP t740 Thin Client</t>
  </si>
  <si>
    <t>c08559813</t>
  </si>
  <si>
    <t>HP Pro Tower ZHAN 99 G9 Desktop PC</t>
  </si>
  <si>
    <t>c08160125</t>
  </si>
  <si>
    <t>HP ZBook Fury G9 Mobile Workstation PC</t>
  </si>
  <si>
    <t>c07718768</t>
  </si>
  <si>
    <t>HP E34m WQHD Curved USB-C Conferencing Monitor</t>
  </si>
  <si>
    <t>c06043924</t>
  </si>
  <si>
    <t>HP ProDesk 600 G4 Desktop Business PC</t>
  </si>
  <si>
    <t>c06040430</t>
  </si>
  <si>
    <t>HP EliteDesk 800 G4 Business Desktops PCs</t>
  </si>
  <si>
    <t>c05979334</t>
  </si>
  <si>
    <t>HP 280 G4 Microtower Business PC</t>
  </si>
  <si>
    <t>c06500694</t>
  </si>
  <si>
    <t>HP ProDesk 405 G4 Small Form Factor</t>
  </si>
  <si>
    <t>c08143317</t>
  </si>
  <si>
    <t>HP ZBook Firefly 16 inch G9 Mobile Workstation PC</t>
  </si>
  <si>
    <t>c07008448</t>
  </si>
  <si>
    <t>HP Elite x2 G8</t>
  </si>
  <si>
    <t>c08552811</t>
  </si>
  <si>
    <t>HP ZBook Firefly 14 inch G10 A Mobile Workstation PC</t>
  </si>
  <si>
    <t>c05527763</t>
  </si>
  <si>
    <t>HP Z8 G4 Workstation</t>
  </si>
  <si>
    <t>c08487726</t>
  </si>
  <si>
    <t>HP EliteBook 1040 14 inch G10 Notebook PC</t>
  </si>
  <si>
    <t>c08552810</t>
  </si>
  <si>
    <t>HP ZBook Firefly 16 inch G10 Mobile Workstation PC</t>
  </si>
  <si>
    <t>c04743502</t>
  </si>
  <si>
    <t>HP t730 Thin Client</t>
  </si>
  <si>
    <t>c08991745</t>
  </si>
  <si>
    <t>HP Elite SFF 805 G9 Desktop PC</t>
  </si>
  <si>
    <t>c09158404</t>
  </si>
  <si>
    <t>HP EliteStudio 8 G1i Stands</t>
  </si>
  <si>
    <t>c09120491</t>
  </si>
  <si>
    <t>HP Thunderbolt 4 Ultra 180W G6 Dock</t>
  </si>
  <si>
    <t>c09120492</t>
  </si>
  <si>
    <t>HP Thunderbolt 4 Ultra 280W G6 Dock</t>
  </si>
  <si>
    <t>c08112669</t>
  </si>
  <si>
    <t>HP Z1 G9 Tower Desktop PC</t>
  </si>
  <si>
    <t>c08876531</t>
  </si>
  <si>
    <t>HP Elite x360 830 13 inch G11 2-in-1</t>
  </si>
  <si>
    <t>c09100635</t>
  </si>
  <si>
    <t>HP EliteBook 6 G1i 14 inch Notebook AI PC</t>
  </si>
  <si>
    <t>c08460852</t>
  </si>
  <si>
    <t>HP EliteBook 650 15.6 inch G10 Notebook PC</t>
  </si>
  <si>
    <t>c08460850</t>
  </si>
  <si>
    <t>HP EliteBook 630 13.3 inch G10 Notebook PC</t>
  </si>
  <si>
    <t>c08927103</t>
  </si>
  <si>
    <t>HP EliteBook 645 14 inch G11 Notebook PC</t>
  </si>
  <si>
    <t>c08893141</t>
  </si>
  <si>
    <t>HP EliteBook 845 14 inch G11 Notebook PC</t>
  </si>
  <si>
    <t>c09085101</t>
  </si>
  <si>
    <t>HP ProDesk 2 Tower G1a Desktop AI PC</t>
  </si>
  <si>
    <t>c08701378</t>
  </si>
  <si>
    <t>HP ProOne 245 23.8 inch G10 All-in-One Desktop PC</t>
  </si>
  <si>
    <t>c08980879</t>
  </si>
  <si>
    <t>HP EliteBook Ultra G1q 14 inch Notebook AI PC</t>
  </si>
  <si>
    <t>c09119776</t>
  </si>
  <si>
    <t>HP ProBook 4 G1iR 16 inch Notebook PC</t>
  </si>
  <si>
    <t>G1iR</t>
  </si>
  <si>
    <t>c09119775</t>
  </si>
  <si>
    <t>HP ProBook 4 G1iR 14 inch Notebook PC</t>
  </si>
  <si>
    <t>c08818352</t>
  </si>
  <si>
    <t>HP Fortis x360 11 inch G5 Chromebook</t>
  </si>
  <si>
    <t>c08433427</t>
  </si>
  <si>
    <t>HP ProBook 455 15.6 inch G10 Notebook PC</t>
  </si>
  <si>
    <t>c08982818</t>
  </si>
  <si>
    <t>HP Series 3 Pro FHD Monitor- 324pv</t>
  </si>
  <si>
    <t>c09097608</t>
  </si>
  <si>
    <t>HP EliteBook 8 G1i 13 inch Notebook AI PC</t>
  </si>
  <si>
    <t>c09097610</t>
  </si>
  <si>
    <t>HP EliteBook 8 G1i 14 inch Notebook AI PC</t>
  </si>
  <si>
    <t>c09118365</t>
  </si>
  <si>
    <t>HP EliteBook 6 G1iR 14 inch Notebook PC</t>
  </si>
  <si>
    <t>c09118366</t>
  </si>
  <si>
    <t>HP EliteBook 6 G1iR 16 inch Notebook PC</t>
  </si>
  <si>
    <t>c09153573</t>
  </si>
  <si>
    <t>HP ZBook X G1i 16 inch Mobile Workstation PC</t>
  </si>
  <si>
    <t>c09153574</t>
  </si>
  <si>
    <t>HP ZBook Fury G1i 18 inch Mobile Workstation PC</t>
  </si>
  <si>
    <t>c06986242</t>
  </si>
  <si>
    <t>HP Engage One Pro All-In-One system</t>
  </si>
  <si>
    <t>c08433426</t>
  </si>
  <si>
    <t>HP ProBook 445 14 inch G10 Notebook PC</t>
  </si>
  <si>
    <t>c08908497</t>
  </si>
  <si>
    <t>HP ProBook 465 16 inch G11 Notebook PC</t>
  </si>
  <si>
    <t>c08244682</t>
  </si>
  <si>
    <t>HP Pro mt440 G3 Mobile Thin Client</t>
  </si>
  <si>
    <t>c09064416</t>
  </si>
  <si>
    <t>HP EliteBook X G1a 14 inch Notebook Next Gen AI PC</t>
  </si>
  <si>
    <t>c08327446</t>
  </si>
  <si>
    <t>HP Elite t655 Thin Client</t>
  </si>
  <si>
    <t>c09121528</t>
  </si>
  <si>
    <t>HP Pro Series 4 G1i Desktops AI PCs</t>
  </si>
  <si>
    <t>c09120200</t>
  </si>
  <si>
    <t>HP EliteBook 8 G1a 16 inch Notebook AI PC</t>
  </si>
  <si>
    <t>c09120201</t>
  </si>
  <si>
    <t>HP EliteBook 8 G1a 16 inch Notebook Next Gen AI PC</t>
  </si>
  <si>
    <t>c04964757</t>
  </si>
  <si>
    <t>HP L7014t 14-in Retail Touch Monitor</t>
  </si>
  <si>
    <t>c06207719</t>
  </si>
  <si>
    <t>HP Engage One Prime Barcode Scanner</t>
  </si>
  <si>
    <t>c05854828</t>
  </si>
  <si>
    <t>HP 285 G3 Microtower PC</t>
  </si>
  <si>
    <t>c08219445</t>
  </si>
  <si>
    <t>HP Z2 Mini G9 Rail Rack Kit</t>
  </si>
  <si>
    <t>c07026077</t>
  </si>
  <si>
    <t>HP Pro c640 G2 Chromebook</t>
  </si>
  <si>
    <t>c05466011</t>
  </si>
  <si>
    <t>HP t530 Thin Client</t>
  </si>
  <si>
    <t>c04802443</t>
  </si>
  <si>
    <t>HP EliteBook 1040 G3</t>
  </si>
  <si>
    <t>c06527241</t>
  </si>
  <si>
    <t>HP mt22 Mobile Thin Client</t>
  </si>
  <si>
    <t>c07713009</t>
  </si>
  <si>
    <t>HP ZBook Fury SSD/HDD Cage</t>
  </si>
  <si>
    <t>c04337549</t>
  </si>
  <si>
    <t>HP AC Adapters for HP Business Notebooks</t>
  </si>
  <si>
    <t>c06269802</t>
  </si>
  <si>
    <t>HP Elite Slice G2 - Partner Ready with Microsoft Teams Rooms</t>
  </si>
  <si>
    <t>c06710184</t>
  </si>
  <si>
    <t>HP ZBook Studio G7 Mobile Workstation</t>
  </si>
  <si>
    <t>c08423198</t>
  </si>
  <si>
    <t>HP E27k G5 4K USB-C Monitor</t>
  </si>
  <si>
    <t>c04318044</t>
  </si>
  <si>
    <t>HP DVI to DVI Cable</t>
  </si>
  <si>
    <t>c04111599</t>
  </si>
  <si>
    <t>HP Single Monitor Arm</t>
  </si>
  <si>
    <t>c06914244</t>
  </si>
  <si>
    <t>HP ZBook Power G7 Mobile Workstation</t>
  </si>
  <si>
    <t>c08081408</t>
  </si>
  <si>
    <t>HP Pro x360 435 13.3 inch G9 Notebook PC</t>
  </si>
  <si>
    <t>c08754941</t>
  </si>
  <si>
    <t>HP Z32 4K UHD Display</t>
  </si>
  <si>
    <t>c07735356</t>
  </si>
  <si>
    <t>HP Fortis x360 11 inch G4 Chromebook</t>
  </si>
  <si>
    <t>c06978062</t>
  </si>
  <si>
    <t>HP Chromebook 14 G7 Enterprise</t>
  </si>
  <si>
    <t>c07830744</t>
  </si>
  <si>
    <t>Epson TM-L90II LFC Thermal Label Printer</t>
  </si>
  <si>
    <t>c06431185</t>
  </si>
  <si>
    <t>Epson TM-T88VI PUSB Printer</t>
  </si>
  <si>
    <t>c06721772</t>
  </si>
  <si>
    <t>HP WIRED DESKTOP 320MK MOUSE AND KEYBOARD</t>
  </si>
  <si>
    <t>c06724393</t>
  </si>
  <si>
    <t>HP P22 G4 Monitor</t>
  </si>
  <si>
    <t>c06912216</t>
  </si>
  <si>
    <t>HP Z2 Tower G5 Workstation</t>
  </si>
  <si>
    <t>c06711625</t>
  </si>
  <si>
    <t>HP 260 G4 Desktop Mini PC</t>
  </si>
  <si>
    <t>c07833061</t>
  </si>
  <si>
    <t>Epson TM-m30II POS Receipt Printer</t>
  </si>
  <si>
    <t>c06500782</t>
  </si>
  <si>
    <t>Datalogic Magellan 3450VSi Presentation Scanner</t>
  </si>
  <si>
    <t>c06506552</t>
  </si>
  <si>
    <t>HP Engage Imaging Barcode Scanner II</t>
  </si>
  <si>
    <t>c04964352</t>
  </si>
  <si>
    <t>HP L7014 14-in Retail Monitor</t>
  </si>
  <si>
    <t>c06527271</t>
  </si>
  <si>
    <t>HP t638 Thin Client</t>
  </si>
  <si>
    <t>c06320288</t>
  </si>
  <si>
    <t>HP EliteDesk 800 G5 and HP EliteOne 800 G5 Business Desktops PCs</t>
  </si>
  <si>
    <t>c08423202</t>
  </si>
  <si>
    <t>HP E27u G5 QHD USB-C Monitor</t>
  </si>
  <si>
    <t>c08152870</t>
  </si>
  <si>
    <t>HP Elite c645 14 inch G2 Chromebook Enterprise</t>
  </si>
  <si>
    <t>c08152869</t>
  </si>
  <si>
    <t>HP Elite c645 14 inch G2 Chromebook</t>
  </si>
  <si>
    <t>c07959341</t>
  </si>
  <si>
    <t>HP EliteBook 645 14 inch G9 Notebook PC</t>
  </si>
  <si>
    <t>c07538091</t>
  </si>
  <si>
    <t>HP ZBook Studio 15.6 inch G8 Mobile Workstation PC</t>
  </si>
  <si>
    <t>c06631380</t>
  </si>
  <si>
    <t>WW DIS HP P19b G4 FHD Monitor - 05/05 - EN</t>
  </si>
  <si>
    <t>c08315316</t>
  </si>
  <si>
    <t>HP Thunderbolt 3.0 Flex IO v3</t>
  </si>
  <si>
    <t>c05527761</t>
  </si>
  <si>
    <t>HP Z6 G4 Workstation</t>
  </si>
  <si>
    <t>c08137760</t>
  </si>
  <si>
    <t>HP Mini Conferencing PC with Zoom Rooms</t>
  </si>
  <si>
    <t>c08423206</t>
  </si>
  <si>
    <t>HP E32k G5 4K USB-C Monitor</t>
  </si>
  <si>
    <t>c08183760</t>
  </si>
  <si>
    <t>HP Pro SFF 280 ZHAN 66 G9 Desktop PC</t>
  </si>
  <si>
    <t>c07606984</t>
  </si>
  <si>
    <t>HP P22a G4 FHD Monitor</t>
  </si>
  <si>
    <t>c06887263</t>
  </si>
  <si>
    <t>HP ZBook Fury 17 G7 Mobile Workstation</t>
  </si>
  <si>
    <t>c06922716</t>
  </si>
  <si>
    <t>HP E24i G4 WUXGA Monitor</t>
  </si>
  <si>
    <t>c06922717</t>
  </si>
  <si>
    <t>HP E24 G4 FHD Monitor</t>
  </si>
  <si>
    <t>c08733837</t>
  </si>
  <si>
    <t>HP P22a G5 FHD Monitor</t>
  </si>
  <si>
    <t>c08733838</t>
  </si>
  <si>
    <t>HP P24a G5 FHD Monitor</t>
  </si>
  <si>
    <t>c08822317</t>
  </si>
  <si>
    <t>HP ZHAN 14 inch G7 Notebook PC</t>
  </si>
  <si>
    <t>c08262303</t>
  </si>
  <si>
    <t>HP P22h G5 FHD Monitor</t>
  </si>
  <si>
    <t>c08262301</t>
  </si>
  <si>
    <t>HP P22 G5 FHD Monitor</t>
  </si>
  <si>
    <t>c08262307</t>
  </si>
  <si>
    <t>HP P24v G5 FHD Monitor</t>
  </si>
  <si>
    <t>c08262304</t>
  </si>
  <si>
    <t>HP P22v G5 FHD Monitor</t>
  </si>
  <si>
    <t>c06102151</t>
  </si>
  <si>
    <t>HP Engage Go Convertible System</t>
  </si>
  <si>
    <t>c05665627</t>
  </si>
  <si>
    <t>Epson TM-T88VI Serial Ethernet USB Printer</t>
  </si>
  <si>
    <t>c06640111</t>
  </si>
  <si>
    <t>HP ProDesk 600 G6 Commercial Desktops PC</t>
  </si>
  <si>
    <t>c08310347</t>
  </si>
  <si>
    <t>HP Z32k G3 4K USB-C Display</t>
  </si>
  <si>
    <t>c08982817</t>
  </si>
  <si>
    <t>HP Series 3 Pro FHD Monitor-322pf</t>
  </si>
  <si>
    <t>c07029156</t>
  </si>
  <si>
    <t>c06951520</t>
  </si>
  <si>
    <t>HP Z24f G3 FHD Display</t>
  </si>
  <si>
    <t>c05825493</t>
  </si>
  <si>
    <t>HP t310 G2 All-in-One Zero Client</t>
  </si>
  <si>
    <t>c08611076</t>
  </si>
  <si>
    <t>HP Remote System Controller</t>
  </si>
  <si>
    <t>c07020706</t>
  </si>
  <si>
    <t>HP 285 G8 Microtower PC</t>
  </si>
  <si>
    <t>c08392797</t>
  </si>
  <si>
    <t>HP E27q G5 QHD Monitor</t>
  </si>
  <si>
    <t>c08098771</t>
  </si>
  <si>
    <t>HP EliteBook 845 14 inch G9 Notebook PC</t>
  </si>
  <si>
    <t>c06973543</t>
  </si>
  <si>
    <t>HP Z27k G3 4K USB-C Display</t>
  </si>
  <si>
    <t>c05572874</t>
  </si>
  <si>
    <t>HP ProBook 440 G5 Notebook PC</t>
  </si>
  <si>
    <t>c08487728</t>
  </si>
  <si>
    <t>HP EliteBook 835 13 inch G10 Notebook PC</t>
  </si>
  <si>
    <t>c08150789</t>
  </si>
  <si>
    <t>HP ZBook Power 15.6 inch G9 Mobile Workstation PC</t>
  </si>
  <si>
    <t>c06043727</t>
  </si>
  <si>
    <t>Intel 9260 802.11ac PCIe x1 Card</t>
  </si>
  <si>
    <t>c06042439</t>
  </si>
  <si>
    <t>HP ProOne 600/400 G4 Vesa Plate</t>
  </si>
  <si>
    <t>c06118511</t>
  </si>
  <si>
    <t>HP Desktop Pro G2</t>
  </si>
  <si>
    <t>c06046117</t>
  </si>
  <si>
    <t>HP 260 G3 Desktop Mini Business PC</t>
  </si>
  <si>
    <t>c05572880</t>
  </si>
  <si>
    <t>HP ProBook 450 G5 Notebook PC</t>
  </si>
  <si>
    <t>c07538129</t>
  </si>
  <si>
    <t>HP ZBook Power 15.6 inch G8 Mobile Workstation PC</t>
  </si>
  <si>
    <t>c08143475</t>
  </si>
  <si>
    <t>HP ZBook Studio 16 inch G9 Mobile Workstation PC</t>
  </si>
  <si>
    <t>c08007865</t>
  </si>
  <si>
    <t>HP EliteBook 640 14 inch G9 Notebook PC QuickSpecs</t>
  </si>
  <si>
    <t>c08143445</t>
  </si>
  <si>
    <t>HP ZBook Firefly 14 inch G9 Mobile Workstation PC</t>
  </si>
  <si>
    <t>c07020719</t>
  </si>
  <si>
    <t>HP 280 Pro G8 Microtower PC</t>
  </si>
  <si>
    <t>c06953003</t>
  </si>
  <si>
    <t>HP 285 G6 Microtower Business PC</t>
  </si>
  <si>
    <t>c09033579</t>
  </si>
  <si>
    <t>HP Z Captis</t>
  </si>
  <si>
    <t>Captis</t>
  </si>
  <si>
    <t>c08051152</t>
  </si>
  <si>
    <t>HP Engage 6.6 inch Display with Ingenico Moby 5500M</t>
  </si>
  <si>
    <t>c04961223</t>
  </si>
  <si>
    <t>HP L7010t 10.1 in Retail Touch Monitor</t>
  </si>
  <si>
    <t>c05693273</t>
  </si>
  <si>
    <t>HP Engage One 10.1 Inch Touch Display</t>
  </si>
  <si>
    <t>c06040429</t>
  </si>
  <si>
    <t>HP EliteDesk 705 G4 Business Desktops PC</t>
  </si>
  <si>
    <t>c04782353</t>
  </si>
  <si>
    <t>HP PC Mounting Brackets for Monitors</t>
  </si>
  <si>
    <t>c06245039</t>
  </si>
  <si>
    <t>HP S101 Speaker Bar</t>
  </si>
  <si>
    <t>c06305136</t>
  </si>
  <si>
    <t>HP ZBook 15 G6 Mobile Workstation</t>
  </si>
  <si>
    <t>c04123406</t>
  </si>
  <si>
    <t>HP Heavy Duty Cash Drawer</t>
  </si>
  <si>
    <t>c08580553</t>
  </si>
  <si>
    <t>HP Elite Series 800 G9 Desktops PCs</t>
  </si>
  <si>
    <t>c08049271</t>
  </si>
  <si>
    <t>HP EliteBook 830 13.3 inch G9 Notebook PC</t>
  </si>
  <si>
    <t>c08392795</t>
  </si>
  <si>
    <t>HP E24q G5 QHD Monitor</t>
  </si>
  <si>
    <t>c07047984</t>
  </si>
  <si>
    <t>HP ProDesk 405 G8 DM / SFF</t>
  </si>
  <si>
    <t>c08479498</t>
  </si>
  <si>
    <t>HP 470 17 inch G10 Notebook PC</t>
  </si>
  <si>
    <t>c08620692</t>
  </si>
  <si>
    <t>HP ZBook Power G10 A Mobile Workstation PC</t>
  </si>
  <si>
    <t>c09003642</t>
  </si>
  <si>
    <t>HP Series 5 Pro 23.8 FHD Monitor-524pf</t>
  </si>
  <si>
    <t>c09053141</t>
  </si>
  <si>
    <t>HP Series 5 Pro 23.8 inch FHD USB-C Conferencing Monitor - 524pm</t>
  </si>
  <si>
    <t>c09053143</t>
  </si>
  <si>
    <t>HP Series 5 Pro 34 inch WQHD USB-C Conferencing Monitor - 534pm</t>
  </si>
  <si>
    <t>c05527757</t>
  </si>
  <si>
    <t>HP Z4 G4 Workstation</t>
  </si>
  <si>
    <t>c08133183</t>
  </si>
  <si>
    <t>c07012337</t>
  </si>
  <si>
    <t>HP Engage One Pro Flexible Pole Single Mount</t>
  </si>
  <si>
    <t>c06468161</t>
  </si>
  <si>
    <t>HP Heavy Duty Cash Drawer with Random Locks</t>
  </si>
  <si>
    <t>c06431221</t>
  </si>
  <si>
    <t>Epson TM-H6000V POS Hybrid Printer</t>
  </si>
  <si>
    <t>c08411168</t>
  </si>
  <si>
    <t>HP Engage 2x20 Customer Facing Pole Display</t>
  </si>
  <si>
    <t>c07927484</t>
  </si>
  <si>
    <t>HP Engage Thermal Receipt Printer</t>
  </si>
  <si>
    <t>Printer</t>
  </si>
  <si>
    <t>c08960410</t>
  </si>
  <si>
    <t>HP Commercial Notebooks Packaging Guide</t>
  </si>
  <si>
    <t>c04123121</t>
  </si>
  <si>
    <t>Epson TM-H6000IV Multifunction Printer</t>
  </si>
  <si>
    <t>c06014144</t>
  </si>
  <si>
    <t>HP MP9 G4 Retail System</t>
  </si>
  <si>
    <t>c07607106</t>
  </si>
  <si>
    <t>HP ZBook Fury 17.3 Inch G8 Mobile Workstation PC</t>
  </si>
  <si>
    <t>c06977950</t>
  </si>
  <si>
    <t>HP ZBook Firefly 14 Inch G8 Mobile Workstation</t>
  </si>
  <si>
    <t>c07606964</t>
  </si>
  <si>
    <t>HP ZBook Fury 15.6 Inch G8 Mobile Workstation PC</t>
  </si>
  <si>
    <t>c08017466</t>
  </si>
  <si>
    <t>HP 255 G9 Notebook PC</t>
  </si>
  <si>
    <t>c09003643</t>
  </si>
  <si>
    <t>HP Series 5 Pro 24 WUXGA Monitor-524pn</t>
  </si>
  <si>
    <t>c08007805</t>
  </si>
  <si>
    <t>HP ProBook 450 15.6 inch G9 Notebook PC</t>
  </si>
  <si>
    <t>c08982816</t>
  </si>
  <si>
    <t>HP Series 3 Pro FHD Monitor-322pv</t>
  </si>
  <si>
    <t>c08487730</t>
  </si>
  <si>
    <t>HP EliteBook 865 16 inch G10 Notebook PC</t>
  </si>
  <si>
    <t>c08049272</t>
  </si>
  <si>
    <t>HP EliteBook 840 14 inch G9 Notebook PC</t>
  </si>
  <si>
    <t>c08423193</t>
  </si>
  <si>
    <t>HP E24u G5 FHD USB-C Monitor</t>
  </si>
  <si>
    <t>c09053766</t>
  </si>
  <si>
    <t>HP Series 3 Pro 23.8 inch FHD Monitor - 324pb</t>
  </si>
  <si>
    <t>c08152872</t>
  </si>
  <si>
    <t>HP Elite c640 14 inch G3 Chromebook Enterprise</t>
  </si>
  <si>
    <t>c06102173</t>
  </si>
  <si>
    <t>HP Engage Flex Pro &amp; Pro-C Retail System</t>
  </si>
  <si>
    <t>c08262306</t>
  </si>
  <si>
    <t>HP P24h G5 FHD Monitor</t>
  </si>
  <si>
    <t>c08017465</t>
  </si>
  <si>
    <t>HP 250 G9 Notebook PC</t>
  </si>
  <si>
    <t>c08937569</t>
  </si>
  <si>
    <t>HP ZBook Fury 16 G11 Mobile Workstation PC</t>
  </si>
  <si>
    <t>c08481321</t>
  </si>
  <si>
    <t>HP Z8 G5 Workstation Desktop PC</t>
  </si>
  <si>
    <t>c08703891</t>
  </si>
  <si>
    <t>HP Z4 Rack G5 Workstation</t>
  </si>
  <si>
    <t>c08482167</t>
  </si>
  <si>
    <t>HP Z6 G5 Workstation</t>
  </si>
  <si>
    <t>c08183681</t>
  </si>
  <si>
    <t>HP Pro SFF 280 G9 Desktop PC</t>
  </si>
  <si>
    <t>c08916513</t>
  </si>
  <si>
    <t>HP Elite Mini 805 G8 Desktop PC</t>
  </si>
  <si>
    <t>c08818351</t>
  </si>
  <si>
    <t>HP Fortis 11 inch G10 Chromebook</t>
  </si>
  <si>
    <t>c09086134</t>
  </si>
  <si>
    <t>HP Elite t660 Thin Client</t>
  </si>
  <si>
    <t>c08821385</t>
  </si>
  <si>
    <t>HP Z6 G5 A Workstation</t>
  </si>
  <si>
    <t>c09073627</t>
  </si>
  <si>
    <t>HP 240RT 14 inch G9 Notebook PC</t>
  </si>
  <si>
    <t>c08148299</t>
  </si>
  <si>
    <t>HP Elite Dragonfly 13.5 Chromebook</t>
  </si>
  <si>
    <t>c09097613</t>
  </si>
  <si>
    <t>HP EliteBook 8 G1i 16 inch Notebook Next Gen AI PC</t>
  </si>
  <si>
    <t>c09097612</t>
  </si>
  <si>
    <t>HP EliteBook 8 G1i 16 inch Notebook AI PC</t>
  </si>
  <si>
    <t>c08908274</t>
  </si>
  <si>
    <t>HP Elite x360 1040 14 inch G11 2-in-1 Notebook PC</t>
  </si>
  <si>
    <t>c08908273</t>
  </si>
  <si>
    <t>HP EliteBook 1040 14 inch G11 Notebook PC</t>
  </si>
  <si>
    <t>c08915793</t>
  </si>
  <si>
    <t>HP EliteBook 640 14 inch G11 Notebook PC</t>
  </si>
  <si>
    <t>c08915794</t>
  </si>
  <si>
    <t>HP EliteBook 660 16 inch G11 Notebook PC</t>
  </si>
  <si>
    <t>c09085102</t>
  </si>
  <si>
    <t>HP ProDesk 2 Tower G1a E Desktop AI PC</t>
  </si>
  <si>
    <t>c09133724</t>
  </si>
  <si>
    <t>HP Z1 Tower G1i Desktop PC</t>
  </si>
  <si>
    <t>c09059224</t>
  </si>
  <si>
    <t>HP EliteBook Ultra G1i 14 inch Notebook Next Gen AI PC</t>
  </si>
  <si>
    <t>c08017709</t>
  </si>
  <si>
    <t>HP Pro Series 400 G9 Desktops PCs</t>
  </si>
  <si>
    <t>c08908496</t>
  </si>
  <si>
    <t>HP ProBook 445 14 inch G11 Notebook PC</t>
  </si>
  <si>
    <t>c08915560</t>
  </si>
  <si>
    <t>HP Probook460 16 inch G11 Notebook PC</t>
  </si>
  <si>
    <t>c09120198</t>
  </si>
  <si>
    <t>HP EliteBook 8 G1a 14 inch Notebook AI PC</t>
  </si>
  <si>
    <t>c09120199</t>
  </si>
  <si>
    <t>HP EliteBook 8 G1a 14 inch Notebook Next Gen AI PC</t>
  </si>
  <si>
    <t>c07856866</t>
  </si>
  <si>
    <t>HP Pro x360 Fortis 11 inch G10</t>
  </si>
  <si>
    <t>c08438689</t>
  </si>
  <si>
    <t>HP Pro x360 435 13.3 inch G10 Notebook PC</t>
  </si>
  <si>
    <t>c07933724</t>
  </si>
  <si>
    <t>HP Pro Tower 280 G9 PCI Desktop PC</t>
  </si>
  <si>
    <t>c09073626</t>
  </si>
  <si>
    <t>HP 250RT 15.6 inch G9 Notebook PC</t>
  </si>
  <si>
    <t>c09083466</t>
  </si>
  <si>
    <t>HP ProDesk 2 SFF G1i Desktop PC</t>
  </si>
  <si>
    <t>c09156739</t>
  </si>
  <si>
    <t>HP Engage 6.9 inch Customer Facing Display</t>
  </si>
  <si>
    <t>c08816192</t>
  </si>
  <si>
    <t>HP Series 7 Pro 740pm</t>
  </si>
  <si>
    <t>c08893145</t>
  </si>
  <si>
    <t>HP Series 7 Pro 27 inch QHD Thunderbolt 4 Monitor - 727pu</t>
  </si>
  <si>
    <t>c08893150</t>
  </si>
  <si>
    <t>HP Series 7 Pro 37.5 inch WQHD+ Thunderbolt 4 Monitor - 738pu</t>
  </si>
  <si>
    <t>c08893144</t>
  </si>
  <si>
    <t>HP Series 7 Pro 27 inch QHD Monitor - 727pq</t>
  </si>
  <si>
    <t>c08183724</t>
  </si>
  <si>
    <t>HP Pro SFF 290 G9 Desktop PC</t>
  </si>
  <si>
    <t>c08954703</t>
  </si>
  <si>
    <t>HP ZBook Power 16 inch G11 A Mobile Workstation PC</t>
  </si>
  <si>
    <t>c08109685</t>
  </si>
  <si>
    <t>HP Z2 G9 Mini Workstation Desktop PC</t>
  </si>
  <si>
    <t>c08174111</t>
  </si>
  <si>
    <t>HP Pro Tower 290 G9 Desktop PC</t>
  </si>
  <si>
    <t>c05543201</t>
  </si>
  <si>
    <t>HP USB Keyboard and Mouse Healthcare Edition</t>
  </si>
  <si>
    <t>c08479497</t>
  </si>
  <si>
    <t>HP 255 15.6 inch G10 Notebook PC</t>
  </si>
  <si>
    <t>c09158403</t>
  </si>
  <si>
    <t>HP All-in-One G1i VESA Plate</t>
  </si>
  <si>
    <t>c08893142</t>
  </si>
  <si>
    <t>HP EliteBook 865 16 inch G11 Notebook PC</t>
  </si>
  <si>
    <t>c08460851</t>
  </si>
  <si>
    <t>HP EliteBook 640 14 inch G10 Notebook PC</t>
  </si>
  <si>
    <t>c08487722</t>
  </si>
  <si>
    <t>HP EliteBook 840 14 inch G10 Notebook PC</t>
  </si>
  <si>
    <t>c08927104</t>
  </si>
  <si>
    <t>HP EliteBook 665 16 inch G11 Notebook PC</t>
  </si>
  <si>
    <t>c09133729</t>
  </si>
  <si>
    <t>HP ZBook 8 G1i 16 Mobile Workstation</t>
  </si>
  <si>
    <t>c09111175</t>
  </si>
  <si>
    <t>HP ProBook 4 G1a 14 inch Notebook AI PC</t>
  </si>
  <si>
    <t>c09102587</t>
  </si>
  <si>
    <t>HP ProBook 4 G1i 16 inch Notebook AI PC</t>
  </si>
  <si>
    <t>c09111176</t>
  </si>
  <si>
    <t>HP ProBook 4 G1a 16 inch Notebook AI PC</t>
  </si>
  <si>
    <t>c09111179</t>
  </si>
  <si>
    <t>HP EliteBook 6 G1a 16 inch Notebook AI PC</t>
  </si>
  <si>
    <t>c09100636</t>
  </si>
  <si>
    <t>HP EliteBook 6 G1i 16 inch Notebook AI PC</t>
  </si>
  <si>
    <t>c09100634</t>
  </si>
  <si>
    <t>HP EliteBook 6 G1i 13 inch Notebook AI PC</t>
  </si>
  <si>
    <t>c09102584</t>
  </si>
  <si>
    <t>HP EliteBook 6 G1q 14 inch Notebook Next Gen AI PC</t>
  </si>
  <si>
    <t>c08880576</t>
  </si>
  <si>
    <t>HP EliteBook 860 16 inch G11</t>
  </si>
  <si>
    <t>c08880575</t>
  </si>
  <si>
    <t>HP EliteBook 840 14 inch G11</t>
  </si>
  <si>
    <t>c08880574</t>
  </si>
  <si>
    <t>HP EliteBook 830 13 inch G11</t>
  </si>
  <si>
    <t>c09133726</t>
  </si>
  <si>
    <t>HP Z2 Mini G1a Workstation</t>
  </si>
  <si>
    <t>c08109687</t>
  </si>
  <si>
    <t>HP Z2 G9 Tower Workstation Desktop PC</t>
  </si>
  <si>
    <t>c09153568</t>
  </si>
  <si>
    <t>HP Z NBX G1i 16 inch Mobile Workstation PC</t>
  </si>
  <si>
    <t>c09133727</t>
  </si>
  <si>
    <t>HP Z2 Mini G1i Workstation</t>
  </si>
  <si>
    <t>c09133728</t>
  </si>
  <si>
    <t>HP Z2 Tower G1i Workstation</t>
  </si>
  <si>
    <t>c09133730</t>
  </si>
  <si>
    <t>HP ZBook 8 G1a 14 Mobile Workstation</t>
  </si>
  <si>
    <t>c09133725</t>
  </si>
  <si>
    <t>HP Z2 SFF G1i Workstation</t>
  </si>
  <si>
    <t>c08111505</t>
  </si>
  <si>
    <t>HP Z2 G9 SFF Workstation Desktop PC</t>
  </si>
  <si>
    <t>c09053765</t>
  </si>
  <si>
    <t>HP 255R 15.6 inch G10 Notebook PC</t>
  </si>
  <si>
    <t>c09073623</t>
  </si>
  <si>
    <t>HP Series 5 27 inch FHD Monitor - 527da</t>
  </si>
  <si>
    <t>c09121527</t>
  </si>
  <si>
    <t>HP Elite Series 8 G1i Desktops AI PCs</t>
  </si>
  <si>
    <t>c09156355</t>
  </si>
  <si>
    <t>HP EliteDesk 8 Mini G1a Desktop Next Gen AI PC - HP EliteDesk 8 Mini G1a Desktop PC</t>
  </si>
  <si>
    <t>c07072047</t>
  </si>
  <si>
    <t>HP Engage 6.6 inch Customer Facing Display</t>
  </si>
  <si>
    <t>c05477268</t>
  </si>
  <si>
    <t>HP t310 G2 Zero Client</t>
  </si>
  <si>
    <t>c04957266</t>
  </si>
  <si>
    <t>HP t310 Quad-Display</t>
  </si>
  <si>
    <t>Thin Clients</t>
  </si>
  <si>
    <t>Thin Client</t>
  </si>
  <si>
    <t>c06514719</t>
  </si>
  <si>
    <t>WW NB - HP ProBook x360 11 G6 EE - 11/27 - EN</t>
  </si>
  <si>
    <t>c06347327</t>
  </si>
  <si>
    <t>HP mt45 Mobile Thin Client</t>
  </si>
  <si>
    <t>c06159406</t>
  </si>
  <si>
    <t>HP mt31 Mobile Thin Client</t>
  </si>
  <si>
    <t>c06467148</t>
  </si>
  <si>
    <t>WW NB - HP ProBook x360 11 G5 EE - 10/10 EN</t>
  </si>
  <si>
    <t>c08210813</t>
  </si>
  <si>
    <t>HP ZHAN 99 G4 Mobile Workstation</t>
  </si>
  <si>
    <t>c08310351</t>
  </si>
  <si>
    <t>HP P32u G5 QHD USB-C Monitor</t>
  </si>
  <si>
    <t>c08624212</t>
  </si>
  <si>
    <t>AMD Radeon RX 6300 2 GB GDDR6 FH DP+HDMI Graphics</t>
  </si>
  <si>
    <t>c08622396</t>
  </si>
  <si>
    <t>AMD Radeon RX 6300 2 GB GDDR6 LP DP+HDMI Graphics</t>
  </si>
  <si>
    <t>c06952549</t>
  </si>
  <si>
    <t>HP Pro c645 Chromebook Enterprise</t>
  </si>
  <si>
    <t>c06061735</t>
  </si>
  <si>
    <t>HP x2 1013 G3 Collaboration Keyboard</t>
  </si>
  <si>
    <t>c04747405</t>
  </si>
  <si>
    <t>HP USB Cables and Adapters</t>
  </si>
  <si>
    <t>c06042607</t>
  </si>
  <si>
    <t>HP FLEX IO Option Cards</t>
  </si>
  <si>
    <t>c05389356</t>
  </si>
  <si>
    <t>HP 9.5mm G3 8/6/4 SFF G4 400 SFF/MT DVD Writer</t>
  </si>
  <si>
    <t>c06043772</t>
  </si>
  <si>
    <t>HP Business PC Security Lock v3 Kit</t>
  </si>
  <si>
    <t>c06043749</t>
  </si>
  <si>
    <t>HP Internal Serial Port (400) / (600/705/800)</t>
  </si>
  <si>
    <t>c08692716</t>
  </si>
  <si>
    <t>HP P22vb G5 FHD Monitor</t>
  </si>
  <si>
    <t>c06429537</t>
  </si>
  <si>
    <t>HP Elite Slice G2 - Audio Ready with Zoom Rooms</t>
  </si>
  <si>
    <t>c06045417</t>
  </si>
  <si>
    <t>HP ProDesk 400 G4 DM / AIO - G5 MT / SFF</t>
  </si>
  <si>
    <t>c05987462</t>
  </si>
  <si>
    <t>HP Z2 Mini G4 Workstation</t>
  </si>
  <si>
    <t>c05893139</t>
  </si>
  <si>
    <t>HP Windows Mixed Reality Headset - Professional Edition</t>
  </si>
  <si>
    <t>c06314289</t>
  </si>
  <si>
    <t>HP Engage 2x20 Pole Display</t>
  </si>
  <si>
    <t>c06543048</t>
  </si>
  <si>
    <t>WW NB - HP ProBook 455 G7 Notebook PC - 21/01 - EN</t>
  </si>
  <si>
    <t>c09048046</t>
  </si>
  <si>
    <t>HP Series 3 Pro 21.45 inch FHD Monitor - 322pe</t>
  </si>
  <si>
    <t>c08622395</t>
  </si>
  <si>
    <t>HP Chromebox G4</t>
  </si>
  <si>
    <t>c07856868</t>
  </si>
  <si>
    <t>HP ProBook Fortis 14 inch G10</t>
  </si>
  <si>
    <t>c07062920</t>
  </si>
  <si>
    <t>HP E24mv G4 FHD Conferencing Monitor</t>
  </si>
  <si>
    <t>c08487729</t>
  </si>
  <si>
    <t>HP EliteBook 845 14 inch G10 Notebook PC</t>
  </si>
  <si>
    <t>c07949016</t>
  </si>
  <si>
    <t>HP ProBook 455 15.6 inch G9 Notebook PC</t>
  </si>
  <si>
    <t>c08392796</t>
  </si>
  <si>
    <t>HP E27 G5 FHD Monitor</t>
  </si>
  <si>
    <t>c08620446</t>
  </si>
  <si>
    <t>HP ZBook Power G10 Mobile Workstation PC</t>
  </si>
  <si>
    <t>c08487727</t>
  </si>
  <si>
    <t>HP Elite x360 1040 14 inch G10 2-in-1 Notebook PC</t>
  </si>
  <si>
    <t>c08005734</t>
  </si>
  <si>
    <t>Datalogic GBT4500 Wireless Barcode Scanner</t>
  </si>
  <si>
    <t>c08169372</t>
  </si>
  <si>
    <t>HP Engage Solutions for Ingenico Moby 5500M</t>
  </si>
  <si>
    <t>c04964788</t>
  </si>
  <si>
    <t>HP L7016t 15.6-in Retail Touch Monitor</t>
  </si>
  <si>
    <t>c09018515</t>
  </si>
  <si>
    <t>HP EliteBook Ultra G1q8 14 inch Notebook AI PC</t>
  </si>
  <si>
    <t>G1q8</t>
  </si>
  <si>
    <t>c08411169</t>
  </si>
  <si>
    <t>HP Engage 2x20 Customer Facing Display</t>
  </si>
  <si>
    <t>c07072830</t>
  </si>
  <si>
    <t>HP Engage One Pro Fingerprint Reader</t>
  </si>
  <si>
    <t>c08409209</t>
  </si>
  <si>
    <t>HP Engage 2D G2 Barcode Scanner</t>
  </si>
  <si>
    <t>c06596847</t>
  </si>
  <si>
    <t>Datalogic Magellan 1500i Presentation Scanner</t>
  </si>
  <si>
    <t>c04123365</t>
  </si>
  <si>
    <t>HP POS Keyboard with Magnetic Stripe Reader</t>
  </si>
  <si>
    <t>c05573121</t>
  </si>
  <si>
    <t>HP Engage One Fingerprint Reader</t>
  </si>
  <si>
    <t>c08310350</t>
  </si>
  <si>
    <t>HP P27h G5 FHD Monitor</t>
  </si>
  <si>
    <t>c09037964</t>
  </si>
  <si>
    <t>HP Series 5 Pro 27 inch QHD USB-C Monitor - 527pu</t>
  </si>
  <si>
    <t>c08580055</t>
  </si>
  <si>
    <t>HP ZBook Fury G10 Mobile Workstation PC</t>
  </si>
  <si>
    <t>c08406316</t>
  </si>
  <si>
    <t>HP Pro x360 Fortis 11 inch G11 Notebook PC</t>
  </si>
  <si>
    <t>c08954642</t>
  </si>
  <si>
    <t>HP ZBook Power 16 inch G11 Mobile Workstation PC</t>
  </si>
  <si>
    <t>c08060742</t>
  </si>
  <si>
    <t>HP Pro Mini 260 G9 Desktop PC</t>
  </si>
  <si>
    <t>c09073630</t>
  </si>
  <si>
    <t>HP Fortis G1m 11 inch Chromebook</t>
  </si>
  <si>
    <t>c09073635</t>
  </si>
  <si>
    <t>HP Fortis G1i 11 inch Chromebook</t>
  </si>
  <si>
    <t>c08133181</t>
  </si>
  <si>
    <t>c09073632</t>
  </si>
  <si>
    <t>HP Fortis Flip G1i 11 inch Notebook PC</t>
  </si>
  <si>
    <t>c08660924</t>
  </si>
  <si>
    <t>HP Engage Flex Pro G2 and Engage Flex Pro C G2 Retail System</t>
  </si>
  <si>
    <t>c08923221</t>
  </si>
  <si>
    <t>HP ZBook Firefly 14 inch G11 Mobile Workstation PC</t>
  </si>
  <si>
    <t>c08410991</t>
  </si>
  <si>
    <t>HP Engage Go 13.5 Convertible System"</t>
  </si>
  <si>
    <t>c08628727</t>
  </si>
  <si>
    <t>HP Pro Tower 290 G9 PCI Desktop PC</t>
  </si>
  <si>
    <t>c08893148</t>
  </si>
  <si>
    <t>HP Series 7 Pro 27 inch 4K Conferencing Monitor - 727pm</t>
  </si>
  <si>
    <t>c08893147</t>
  </si>
  <si>
    <t>HP Series 7 Pro 27 inch 4K Thunderbolt 4 Monitor - 727pk</t>
  </si>
  <si>
    <t>c08905304</t>
  </si>
  <si>
    <t>HP 240R 14 inch G9 Notebook PC</t>
  </si>
  <si>
    <t>c08479494</t>
  </si>
  <si>
    <t>HP 240 14 inch G10 Notebook PC</t>
  </si>
  <si>
    <t>c09135496</t>
  </si>
  <si>
    <t>HP Engage Flex Mini G2</t>
  </si>
  <si>
    <t>c08049276</t>
  </si>
  <si>
    <t>HP EliteBook x360 1040 14 inch G9 2-in-1 Notebook PC</t>
  </si>
  <si>
    <t>c08017463</t>
  </si>
  <si>
    <t>HP 240 14 inch G9 Notebook PC</t>
  </si>
  <si>
    <t>c08007866</t>
  </si>
  <si>
    <t>HP EliteBook 650 15.6 G9 Notebook PC"</t>
  </si>
  <si>
    <t>c08017464</t>
  </si>
  <si>
    <t>HP 245 14 inch G9 Notebook PC</t>
  </si>
  <si>
    <t>c06978059</t>
  </si>
  <si>
    <t>HP Chromebook 11 G9 EE</t>
  </si>
  <si>
    <t>c06978061</t>
  </si>
  <si>
    <t>HP Chromebook 14 G7</t>
  </si>
  <si>
    <t>c08552777</t>
  </si>
  <si>
    <t>HP ZBook Firefly 14 inch G10 Mobile Workstation PC</t>
  </si>
  <si>
    <t>c08438688</t>
  </si>
  <si>
    <t>HP EliteBook 655 15.6 inch G10 Notebook PC</t>
  </si>
  <si>
    <t>c04126958</t>
  </si>
  <si>
    <t>HP Standard Duty and USB Standard Duty Cash Drawer</t>
  </si>
  <si>
    <t>c06969250</t>
  </si>
  <si>
    <t>HP EliteBook x360 830 G8 Notebook PC</t>
  </si>
  <si>
    <t>c08854784</t>
  </si>
  <si>
    <t>Epson TM-T88VII Thermal Receipt Printer</t>
  </si>
  <si>
    <t>c08007864</t>
  </si>
  <si>
    <t>HP EliteBook 630 13.3 G9 Notebook PC"</t>
  </si>
  <si>
    <t>c05573243</t>
  </si>
  <si>
    <t>HP Engage One All-in-One System</t>
  </si>
  <si>
    <t>c05814610</t>
  </si>
  <si>
    <t>c05389395</t>
  </si>
  <si>
    <t>HP EliteOne 800 G3 AIO Adjustable Height Stand</t>
  </si>
  <si>
    <t>c06469336</t>
  </si>
  <si>
    <t>HP Thunderbolt 3.0 PCIe Card</t>
  </si>
  <si>
    <t>c06914243</t>
  </si>
  <si>
    <t>HP Z2 Small Form Factor G5 Workstation</t>
  </si>
  <si>
    <t>c08747078</t>
  </si>
  <si>
    <t>HP Z Turbo Drive Quad Pro PCIe-4x16 NVMe Carrier</t>
  </si>
  <si>
    <t>c05389400</t>
  </si>
  <si>
    <t>HP USB Business Slim Smartcard Keyboard</t>
  </si>
  <si>
    <t>c08423213</t>
  </si>
  <si>
    <t>HP E45c G5 DQHD Curved Monitor</t>
  </si>
  <si>
    <t>c08392792</t>
  </si>
  <si>
    <t>HP E22 G5 FHD Monitor</t>
  </si>
  <si>
    <t>c06978060</t>
  </si>
  <si>
    <t>HP Chromebook x360 11 G4 EE</t>
  </si>
  <si>
    <t>c07316508</t>
  </si>
  <si>
    <t>HP Engage 14 FHD Monitor/HP Engage 14t FHD Monitor</t>
  </si>
  <si>
    <t>c06431211</t>
  </si>
  <si>
    <t>Epson TM-m30 Ethernet USB Printer</t>
  </si>
  <si>
    <t>c06457091</t>
  </si>
  <si>
    <t>Epson TM-m30 (Japan Only)</t>
  </si>
  <si>
    <t>c08876529</t>
  </si>
  <si>
    <t>HP Series 7 Pro 724pu</t>
  </si>
  <si>
    <t>c08854782</t>
  </si>
  <si>
    <t>HP Series 7 Pro 31.5 inch 4K Thunderbolt 4 Monitor - 732pk</t>
  </si>
  <si>
    <t>c08893320</t>
  </si>
  <si>
    <t>HP USB Business Slim Smartcard Keyboard - Brazil</t>
  </si>
  <si>
    <t>c08310349</t>
  </si>
  <si>
    <t>HP P27 G5 FHD Monitor</t>
  </si>
  <si>
    <t>c06543416</t>
  </si>
  <si>
    <t>HP 205 G4 22 All-in-One PC</t>
  </si>
  <si>
    <t>c07029155</t>
  </si>
  <si>
    <t>HP EliteDesk 805 G8 Desktops PCs</t>
  </si>
  <si>
    <t>c07065967</t>
  </si>
  <si>
    <t>HP Z2 Small Form Factor G8 Workstation</t>
  </si>
  <si>
    <t>c06461733</t>
  </si>
  <si>
    <t>WW DIS - HP P24h G4 23.8-inch Monitor - 10/02 - EN</t>
  </si>
  <si>
    <t>c06956483</t>
  </si>
  <si>
    <t>HP E24d G4 FHD USB-C Conferencing Monitor</t>
  </si>
  <si>
    <t>c06630565</t>
  </si>
  <si>
    <t>HP Reverb G2 Virtual Reality Headset</t>
  </si>
  <si>
    <t>c07057403</t>
  </si>
  <si>
    <t>HP Z1 G8 Tower Desktop PC</t>
  </si>
  <si>
    <t>c07065867</t>
  </si>
  <si>
    <t>HP Z2 Tower G8 Workstation</t>
  </si>
  <si>
    <t>c06674861</t>
  </si>
  <si>
    <t>HP 205 G4 24 All-in-One PC</t>
  </si>
  <si>
    <t>c06951158</t>
  </si>
  <si>
    <t>HP Z27q G3 QHD Display</t>
  </si>
  <si>
    <t>c07870878</t>
  </si>
  <si>
    <t>HP Z40c G3 WUHD Curved Display</t>
  </si>
  <si>
    <t>c06922715</t>
  </si>
  <si>
    <t>HP E23 G4 FHD Monitor</t>
  </si>
  <si>
    <t>c06951537</t>
  </si>
  <si>
    <t>HP Z24n G3 WUXGA Display</t>
  </si>
  <si>
    <t>c06973544</t>
  </si>
  <si>
    <t>HP Z27u G3 QHD USB-C Display</t>
  </si>
  <si>
    <t>c07318697</t>
  </si>
  <si>
    <t>HP Engage 16t FHD Monitor/HP Engage 16t FHD MSR Monitor</t>
  </si>
  <si>
    <t>c07660323</t>
  </si>
  <si>
    <t>HP Z34c G3 WQHD USB-C Curved Display</t>
  </si>
  <si>
    <t>c04168399</t>
  </si>
  <si>
    <t>HP Security Accessories</t>
  </si>
  <si>
    <t>c06043763</t>
  </si>
  <si>
    <t>HP ProOne G4 Height Adjustable Stand</t>
  </si>
  <si>
    <t>c06264670</t>
  </si>
  <si>
    <t>HP 290 G2 Microtower Business PC</t>
  </si>
  <si>
    <t>c05941107</t>
  </si>
  <si>
    <t>HP Chromebox G2</t>
  </si>
  <si>
    <t>c05572133</t>
  </si>
  <si>
    <t>HP ProBook 430 G5 Notebook PC</t>
  </si>
  <si>
    <t>c06269801</t>
  </si>
  <si>
    <t>HP ProDesk 405 G4 Desktop Mini Business PC</t>
  </si>
  <si>
    <t>c08049274</t>
  </si>
  <si>
    <t>HP Elite 830 x360 13.3 inch G9 2-in-1 Notebook PC</t>
  </si>
  <si>
    <t>c07928667</t>
  </si>
  <si>
    <t>HP Engage One Essential All-in-One System</t>
  </si>
  <si>
    <t>c08406315</t>
  </si>
  <si>
    <t>HP Fortis x360 11 inch G3 J Chromebook</t>
  </si>
  <si>
    <t>c08336129</t>
  </si>
  <si>
    <t>HP Elite mt645 G7 Mobile Thin Client</t>
  </si>
  <si>
    <t>c08049275</t>
  </si>
  <si>
    <t>HP EliteBook 1040 14 G9 Notebook PC"</t>
  </si>
  <si>
    <t>c08135041</t>
  </si>
  <si>
    <t>HP Thunderbolt G4 Dock</t>
  </si>
  <si>
    <t>c09146969</t>
  </si>
  <si>
    <t>HP Thunderbolt 4 Ultra 280W TAA G6 Dock</t>
  </si>
  <si>
    <t>c08138401</t>
  </si>
  <si>
    <t>HP Presence Meeting Space Solutions with Zoom Rooms</t>
  </si>
  <si>
    <t>c09120490</t>
  </si>
  <si>
    <t>HP Thunderbolt 4 100W G6 Dock</t>
  </si>
  <si>
    <t>c04123334</t>
  </si>
  <si>
    <t>HP Mobile Broadband Modules</t>
  </si>
  <si>
    <t>c08308931</t>
  </si>
  <si>
    <t>HP Presence See 4K AI Camera and See Table Lock Kits</t>
  </si>
  <si>
    <t>c08376528</t>
  </si>
  <si>
    <t>HP Presence Control Table Mount Kit &amp; HP Presence Control Wall Mount Kit</t>
  </si>
  <si>
    <t>c04573649</t>
  </si>
  <si>
    <t>HP Desktop Mini PC Accessories</t>
  </si>
  <si>
    <t>c09102586</t>
  </si>
  <si>
    <t>HP ProBook 4 G1i 14 inch Notebook AI PC</t>
  </si>
  <si>
    <t>c09097609</t>
  </si>
  <si>
    <t>HP EliteBook 8 Flip G1i 13 inch Notebook AI PC</t>
  </si>
  <si>
    <t>c09097611</t>
  </si>
  <si>
    <t>HP EliteBook 8 G1i 14 inch Notebook Next Gen AI PC</t>
  </si>
  <si>
    <t>c09102585</t>
  </si>
  <si>
    <t>HP ProBook 4 G1q 14 inch Notebook Next Gen AI PC</t>
  </si>
  <si>
    <t>c08628726</t>
  </si>
  <si>
    <t>HP ProOne 240 23.8 inch G10 All-in-One Desktop PC</t>
  </si>
  <si>
    <t>c08915500</t>
  </si>
  <si>
    <t>HP ProBook 440 14 inch G11 Notebook PC</t>
  </si>
  <si>
    <t>c08017769</t>
  </si>
  <si>
    <t>c09120197</t>
  </si>
  <si>
    <t>HP EliteBook 8 G1a 13 inch Notebook Next Gen AI PC</t>
  </si>
  <si>
    <t>c09120196</t>
  </si>
  <si>
    <t>HP EliteBook 8 G1a 13 inch Notebook AI PC</t>
  </si>
  <si>
    <t>c09073636</t>
  </si>
  <si>
    <t>HP Fortis Flip G1i 11 inch Chromebook</t>
  </si>
  <si>
    <t>c08017710</t>
  </si>
  <si>
    <t>HP Elite Series 600 G9 Desktops PCs</t>
  </si>
  <si>
    <t>c08915792</t>
  </si>
  <si>
    <t>HP EliteBook 630 13 inch G11 Notebook PC</t>
  </si>
  <si>
    <t>c09168549</t>
  </si>
  <si>
    <t>HP ProStudio 4 G1i DVD-Writer EXT ODD</t>
  </si>
  <si>
    <t>c09080731</t>
  </si>
  <si>
    <t>HP EliteBook X Flip G1i 14 inch Notebook Next Gen AI PC</t>
  </si>
  <si>
    <t>c08945857</t>
  </si>
  <si>
    <t>HP EliteBook 635 Aero G11 Notebook PC</t>
  </si>
  <si>
    <t>c09133731</t>
  </si>
  <si>
    <t>HP ZBook 8 G1i 14 Mobile Workstation</t>
  </si>
  <si>
    <t>c09111178</t>
  </si>
  <si>
    <t>HP EliteBook 6 G1a 14 inch Notebook Next Gen AI PC</t>
  </si>
  <si>
    <t>c09111177</t>
  </si>
  <si>
    <t>HP EliteBook 6 G1a 14 inch Notebook AI PC</t>
  </si>
  <si>
    <t>c08893140</t>
  </si>
  <si>
    <t>HP EliteBook 835 13 inch G11 Notebook PC</t>
  </si>
  <si>
    <t>c08480165</t>
  </si>
  <si>
    <t>HP ProBook 450 15 inch G10 Notebook PC</t>
  </si>
  <si>
    <t>c08818350</t>
  </si>
  <si>
    <t>HP Fortis 14 inch G11 Chromebook</t>
  </si>
  <si>
    <t>Chromebook</t>
  </si>
  <si>
    <t>c09080730</t>
  </si>
  <si>
    <t>HP EliteBook X G1i 14 inch Notebook Next Gen AI PC</t>
  </si>
  <si>
    <t>c09073622</t>
  </si>
  <si>
    <t>HP Series 5 23.8 inch FHD Monitor - 524da</t>
  </si>
  <si>
    <t>c09180289</t>
  </si>
  <si>
    <t>HP Business Slim v2 Smart Card USB Keyboard</t>
  </si>
  <si>
    <t>c07727081</t>
  </si>
  <si>
    <t>HP Engage Go 10 Mobile System"</t>
  </si>
  <si>
    <t>c09153575</t>
  </si>
  <si>
    <t>HP ZBook Fury G1i 16 inch Mobile Workstation PC</t>
  </si>
  <si>
    <t>c09094897</t>
  </si>
  <si>
    <t>HP Engage One Pro G2 All-In-One system</t>
  </si>
  <si>
    <t>c08854791</t>
  </si>
  <si>
    <t>HP Elite t755 Thin Client</t>
  </si>
  <si>
    <t>c09010549</t>
  </si>
  <si>
    <t>HP Elite mt645 G8 Mobile Thin Client</t>
  </si>
  <si>
    <t>c04164169</t>
  </si>
  <si>
    <t>HP Cable Lock Solutions for Business Notebook PCs</t>
  </si>
  <si>
    <t>c08409082</t>
  </si>
  <si>
    <t>HP Pro t550 Thin Client</t>
  </si>
  <si>
    <t>c09053763</t>
  </si>
  <si>
    <t>HP 240R 14 inch G10 Notebook PC</t>
  </si>
  <si>
    <t>c09053764</t>
  </si>
  <si>
    <t>HP 250R 15.6 inch G10 Notebook PC</t>
  </si>
  <si>
    <t>c06712909</t>
  </si>
  <si>
    <t>HP FLEX IO v3 Option Cards</t>
  </si>
  <si>
    <t>Then just copy columns A and B of the new IDs into Sheet1</t>
  </si>
  <si>
    <t>COPY DATA HERE</t>
  </si>
  <si>
    <t>CHECK IF IT ALREADY EXIST</t>
  </si>
  <si>
    <t>c05915532</t>
  </si>
  <si>
    <t>HP Pro 8 Tablet with Voice with Mantra mDESK8-Quickspec</t>
  </si>
  <si>
    <t>c06496220</t>
  </si>
  <si>
    <t>ENS Genesis Stand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</si>
  <si>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</si>
  <si>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</si>
  <si>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</si>
  <si>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</si>
  <si>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</si>
  <si>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</si>
  <si>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</si>
  <si>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</si>
  <si>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</si>
  <si>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</si>
  <si>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</si>
  <si>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G1i</t>
  </si>
  <si>
    <t>G1a</t>
  </si>
  <si>
    <t>G1q</t>
  </si>
  <si>
    <t>G2a</t>
  </si>
  <si>
    <t>G2i</t>
  </si>
  <si>
    <t>G2q</t>
  </si>
  <si>
    <t>Gi1r</t>
  </si>
  <si>
    <t>Gin</t>
  </si>
  <si>
    <t>Dragonfly</t>
  </si>
  <si>
    <t>Ultra</t>
  </si>
  <si>
    <t>ProOne</t>
  </si>
  <si>
    <t>EliteOne</t>
  </si>
  <si>
    <t>Fortis</t>
  </si>
  <si>
    <t>x2</t>
  </si>
  <si>
    <t>Dock</t>
  </si>
  <si>
    <t>Desktop</t>
  </si>
  <si>
    <t>Series 3</t>
  </si>
  <si>
    <t>Series 5</t>
  </si>
  <si>
    <t>Series 7</t>
  </si>
  <si>
    <t>Chromebox</t>
  </si>
  <si>
    <t>Engage</t>
  </si>
  <si>
    <t>Z4</t>
  </si>
  <si>
    <t>Monitor</t>
  </si>
  <si>
    <t>Zero Client</t>
  </si>
  <si>
    <t>Carrer</t>
  </si>
  <si>
    <t>Other Accessories</t>
  </si>
  <si>
    <t>Keyboard</t>
  </si>
  <si>
    <t>Mobile Thin Client</t>
  </si>
  <si>
    <t>Paste concentra report in column B and C. Formula in column E will identify new IDs vs existing IDs</t>
  </si>
  <si>
    <t>ProDesk</t>
  </si>
  <si>
    <t>EliteDesk</t>
  </si>
  <si>
    <t>EliteBook</t>
  </si>
  <si>
    <t>ProBook</t>
  </si>
  <si>
    <t>ChromeBook</t>
  </si>
  <si>
    <t>ZBook</t>
  </si>
  <si>
    <t>Desktop Workstation</t>
  </si>
  <si>
    <t>c06724396</t>
  </si>
  <si>
    <t>HP Chromebox G3</t>
  </si>
  <si>
    <t>c08138298</t>
  </si>
  <si>
    <t>HP Presence Meeting Space Solutions with Microsoft Teams Rooms</t>
  </si>
  <si>
    <t>c05574097</t>
  </si>
  <si>
    <t>HP Z22n G2 21.5-inch Display</t>
  </si>
  <si>
    <t>c04558374</t>
  </si>
  <si>
    <t>HP Unified Communications and Collaboration Devices</t>
  </si>
  <si>
    <t>c05810452</t>
  </si>
  <si>
    <t>HP Turbo Drive G2 TLC 512GB Drive</t>
  </si>
  <si>
    <t>c09201687</t>
  </si>
  <si>
    <t>HP Engage USB Extender</t>
  </si>
  <si>
    <t>c04276879</t>
  </si>
  <si>
    <t>HP 355 G2 QuickSpecs</t>
  </si>
  <si>
    <t>c04329644</t>
  </si>
  <si>
    <t>HP 355 G2 Notebook PC Datasheet</t>
  </si>
  <si>
    <t>c04333719</t>
  </si>
  <si>
    <t>HP ProBook 430 G2 QuickSpecs</t>
  </si>
  <si>
    <t>c04363469</t>
  </si>
  <si>
    <t>HP Chromebook 11 G2 QuickSpecs</t>
  </si>
  <si>
    <t>c04382807</t>
  </si>
  <si>
    <t>HP EliteDesk 700 G1 Business PC Series QuickSpecs</t>
  </si>
  <si>
    <t>c06441591</t>
  </si>
  <si>
    <t>HP 280 G4 Small Form Factor Business PC</t>
  </si>
  <si>
    <t>c06441818</t>
  </si>
  <si>
    <t>HP 280 G5 Microtower Business PC</t>
  </si>
  <si>
    <t>c06469473</t>
  </si>
  <si>
    <t>HP 290 G2 Small Form Factor Business PC</t>
  </si>
  <si>
    <t>c06469528</t>
  </si>
  <si>
    <t>HP 290 G3 Microtower Business PC</t>
  </si>
  <si>
    <t>c06590382</t>
  </si>
  <si>
    <t>HP 280 G6 Microtower Business PC</t>
  </si>
  <si>
    <t>c06590421</t>
  </si>
  <si>
    <t>HP 290 G4 Microtower PC</t>
  </si>
  <si>
    <t>c06711651</t>
  </si>
  <si>
    <t>HP ProDesk 405 G6 DM / SFF</t>
  </si>
  <si>
    <t>c06718495</t>
  </si>
  <si>
    <t>HP Collaboration PC G6 with Zoom Rooms</t>
  </si>
  <si>
    <t>c06718498</t>
  </si>
  <si>
    <t>HP EliteDesk 805 G6 Business Desktops PCs</t>
  </si>
  <si>
    <t>c06724395</t>
  </si>
  <si>
    <t>HP Chromebox Enterprise G3</t>
  </si>
  <si>
    <t>c06887165</t>
  </si>
  <si>
    <t>HP Collaboration G6 24 and 27 All-in-One with Zoom Rooms</t>
  </si>
  <si>
    <t>c06953089</t>
  </si>
  <si>
    <t>HP Desktop Pro G6 Microtower PC</t>
  </si>
  <si>
    <t>c07722482</t>
  </si>
  <si>
    <t>HP 205 G8 24 All-in-One PC</t>
  </si>
  <si>
    <t>c08202581</t>
  </si>
  <si>
    <t>c08210038</t>
  </si>
  <si>
    <t>c08386706</t>
  </si>
  <si>
    <t>HP 34" All-in-One Desktop PC</t>
  </si>
  <si>
    <t>c05738162</t>
  </si>
  <si>
    <t>HP Z27n G2 27-inch Display</t>
  </si>
  <si>
    <t>c05738235</t>
  </si>
  <si>
    <t>HP Z24n G2 24-inch Display</t>
  </si>
  <si>
    <t>c05979335</t>
  </si>
  <si>
    <t>HP 280 G3 Small Form Factor Business PC</t>
  </si>
  <si>
    <t>c06524352</t>
  </si>
  <si>
    <t>WW NB - HP Chromebook Enterprise 14 G6 - 12/13 - EN</t>
  </si>
  <si>
    <t>c06699548</t>
  </si>
  <si>
    <t>WW NB - HP Elite c1030 Chromebook Enterprise - 07/15 - EN</t>
  </si>
  <si>
    <t>HP EliteBook 630 13.3" G9 Notebook PC</t>
  </si>
  <si>
    <t>HP EliteBook 650 15.6" G9 Notebook PC</t>
  </si>
  <si>
    <t>HP EliteBook 1040 14" G9 Notebook PC</t>
  </si>
  <si>
    <t>4aa7-4692eep</t>
  </si>
  <si>
    <t>Quick Specs for HP Engage One Prime Cash Drawer</t>
  </si>
  <si>
    <t>c04375534</t>
  </si>
  <si>
    <t>HP USB to Serial Adapter</t>
  </si>
  <si>
    <t>c06220106</t>
  </si>
  <si>
    <t>AMD Radeon™ RX550X 4GB LP DisplayPort™ Card</t>
  </si>
  <si>
    <t>c06525676</t>
  </si>
  <si>
    <t>HP USB Type-C Extension Cable Kit (5M)</t>
  </si>
  <si>
    <t>c06712735</t>
  </si>
  <si>
    <t>HP 400/600 MT 2nd 3.5" HDD cage</t>
  </si>
  <si>
    <t>HP Wired Desktop 320K Keyboard</t>
  </si>
  <si>
    <t>HP Wired Desktop 320MK Mouse and Keyboard</t>
  </si>
  <si>
    <t>c06953090</t>
  </si>
  <si>
    <t>HP Desktop Pro 300 G6 Microtower PC</t>
  </si>
  <si>
    <t>c06953446</t>
  </si>
  <si>
    <t>HP All-in-One 800 G6 Stands</t>
  </si>
  <si>
    <t>c06953447</t>
  </si>
  <si>
    <t>HP ProOne G6 Adjustable Height Stand</t>
  </si>
  <si>
    <t>c08331970</t>
  </si>
  <si>
    <t>HP ProOne G9 VESA Plate with Power Supply Holder</t>
  </si>
  <si>
    <t>c08376464</t>
  </si>
  <si>
    <t>HP Presence 15m Type-C Cable Kit and HP Presence 30m Type-C Cable Kit</t>
  </si>
  <si>
    <t>c09207707</t>
  </si>
  <si>
    <t>HP USB-C 100W G6 Dock</t>
  </si>
  <si>
    <t>c09207708</t>
  </si>
  <si>
    <t>HP USB-C 100W TAA G6 Dock</t>
  </si>
  <si>
    <t>c05573122</t>
  </si>
  <si>
    <t>HP Engage One Serial USB Thermal Printer</t>
  </si>
  <si>
    <t>HP Engage One Pro All-in-One System</t>
  </si>
  <si>
    <t>HP Engage Go 10" Mobile System</t>
  </si>
  <si>
    <t>c08371895</t>
  </si>
  <si>
    <t>HP Engage Column Printer G2</t>
  </si>
  <si>
    <t>HP Engage Go 13.5" Convertible System</t>
  </si>
  <si>
    <t>c09002127</t>
  </si>
  <si>
    <t>Datalogic Magellan 900i Presentation Scanner</t>
  </si>
  <si>
    <t>c09048284</t>
  </si>
  <si>
    <t>Epson TM-H6000VI Hybrid Printer with Check Processing</t>
  </si>
  <si>
    <t>c09205360</t>
  </si>
  <si>
    <t>HP Engage Indicator Light</t>
  </si>
  <si>
    <t>c09205364</t>
  </si>
  <si>
    <t>HP Black No Retail I/O Connectivity Base</t>
  </si>
  <si>
    <t>c09219425</t>
  </si>
  <si>
    <t>HP Engage Prime G2 Barcode Scanner</t>
  </si>
  <si>
    <t>c09220352</t>
  </si>
  <si>
    <t>HP AI Accelerator M.2 Card</t>
  </si>
  <si>
    <t>c06936517</t>
  </si>
  <si>
    <t>HP mt46 Mobile Thin Client</t>
  </si>
  <si>
    <t>c06953710</t>
  </si>
  <si>
    <t>HP mt32 Mobile Thin Client</t>
  </si>
  <si>
    <t>c09222532</t>
  </si>
  <si>
    <t>HP ProDesk 5 G1 Thin Client</t>
  </si>
  <si>
    <t>4aa7-7185enw</t>
  </si>
  <si>
    <t>HP ZCentral Remote Boost 2022 Quick Specs</t>
  </si>
  <si>
    <t>4aa7-7186enw</t>
  </si>
  <si>
    <t>HP ZCentral Connect 2022 Quick Specs</t>
  </si>
  <si>
    <t>c06274598</t>
  </si>
  <si>
    <t>HP VR Backpack G2</t>
  </si>
  <si>
    <t>HP ZBook Ultra 14" G1a Mobile Workstation PC</t>
  </si>
  <si>
    <t>c09212373</t>
  </si>
  <si>
    <t>HP ZGX Nano G1n AI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</si>
</sst>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0D6D-7D45-48D5-8B3A-7343EBFE63DE}">
  <sheetPr>
    <tabColor rgb="FF00B050"/>
  </sheetPr>
  <dimension ref="A1:G597"/>
  <sheetViews>
    <sheetView tabSelected="1" zoomScale="145" zoomScaleNormal="145" workbookViewId="0">
      <selection activeCell="D75" sqref="D75"/>
    </sheetView>
  </sheetViews>
  <sheetFormatPr defaultRowHeight="15" x14ac:dyDescent="0.25"/>
  <cols>
    <col min="1" max="1" width="10" bestFit="1" customWidth="1"/>
    <col min="2" max="2" width="49.42578125" bestFit="1" customWidth="1"/>
    <col min="3" max="3" width="15.85546875" customWidth="1"/>
    <col min="4" max="4" width="15.85546875" bestFit="1" customWidth="1"/>
    <col min="5" max="5" width="10" bestFit="1" customWidth="1"/>
    <col min="6" max="6" width="1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tr" cm="1">
        <f t="array" ref="C2">_xlfn.LET(
  _xlpm.text, B2,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" t="str" cm="1">
        <f t="array" ref="D2">_xlfn.LET(
  _xlpm.text, B2,
  _xlpm.keywords, Category!$A$1:$A$100,
  _xlpm.matches, _xlfn._xlws.FILTER(_xlpm.keywords, ISNUMBER(SEARCH(_xlpm.keywords, _xlpm.text))),
  IF(COUNTA(_xlpm.matches) &gt; 0, INDEX(_xlpm.matches, 1), "")
)</f>
        <v>Scanner</v>
      </c>
      <c r="E2" t="str" cm="1">
        <f t="array" ref="E2">_xlfn.LET(
  _xlpm.text, " " &amp; B2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2" t="s">
        <v>9</v>
      </c>
      <c r="G2" t="str">
        <f>_xlfn.CONCAT("https://www8.hp.com/h20195/v2/GetDocument.aspx?docname=",A2)</f>
        <v>https://www8.hp.com/h20195/v2/GetDocument.aspx?docname=c06002143</v>
      </c>
    </row>
    <row r="3" spans="1:7" x14ac:dyDescent="0.25">
      <c r="A3" t="s">
        <v>10</v>
      </c>
      <c r="B3" t="s">
        <v>11</v>
      </c>
      <c r="C3" t="str" cm="1">
        <f t="array" ref="C3">_xlfn.LET(
  _xlpm.text, B3,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" t="str" cm="1">
        <f t="array" ref="D3">_xlfn.LET(
  _xlpm.text, B3,
  _xlpm.keywords, Category!$A$1:$A$100,
  _xlpm.matches, _xlfn._xlws.FILTER(_xlpm.keywords, ISNUMBER(SEARCH(_xlpm.keywords, _xlpm.text))),
  IF(COUNTA(_xlpm.matches) &gt; 0, INDEX(_xlpm.matches, 1), "")
)</f>
        <v>ProBook</v>
      </c>
      <c r="E3" t="str" cm="1">
        <f t="array" ref="E3">_xlfn.LET(
  _xlpm.text, " " &amp; B3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3" t="s">
        <v>9</v>
      </c>
      <c r="G3" t="str">
        <f t="shared" ref="G3:G66" si="0">_xlfn.CONCAT("https://www8.hp.com/h20195/v2/GetDocument.aspx?docname=",A3)</f>
        <v>https://www8.hp.com/h20195/v2/GetDocument.aspx?docname=c05935170</v>
      </c>
    </row>
    <row r="4" spans="1:7" x14ac:dyDescent="0.25">
      <c r="A4" t="s">
        <v>12</v>
      </c>
      <c r="B4" t="s">
        <v>13</v>
      </c>
      <c r="C4" t="str" cm="1">
        <f t="array" ref="C4">_xlfn.LET(
  _xlpm.text, B4,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" t="str" cm="1">
        <f t="array" ref="D4">_xlfn.LET(
  _xlpm.text, B4,
  _xlpm.keywords, Category!$A$1:$A$100,
  _xlpm.matches, _xlfn._xlws.FILTER(_xlpm.keywords, ISNUMBER(SEARCH(_xlpm.keywords, _xlpm.text))),
  IF(COUNTA(_xlpm.matches) &gt; 0, INDEX(_xlpm.matches, 1), "")
)</f>
        <v>ProBook</v>
      </c>
      <c r="E4" t="str" cm="1">
        <f t="array" ref="E4">_xlfn.LET(
  _xlpm.text, " " &amp; B4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4" t="s">
        <v>9</v>
      </c>
      <c r="G4" t="str">
        <f t="shared" si="0"/>
        <v>https://www8.hp.com/h20195/v2/GetDocument.aspx?docname=c05935171</v>
      </c>
    </row>
    <row r="5" spans="1:7" x14ac:dyDescent="0.25">
      <c r="A5" t="s">
        <v>14</v>
      </c>
      <c r="B5" t="s">
        <v>15</v>
      </c>
      <c r="C5" t="str" cm="1">
        <f t="array" ref="C5">_xlfn.LET(
  _xlpm.text, B5,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" t="str" cm="1">
        <f t="array" ref="D5">_xlfn.LET(
  _xlpm.text, B5,
  _xlpm.keywords, Category!$A$1:$A$100,
  _xlpm.matches, _xlfn._xlws.FILTER(_xlpm.keywords, ISNUMBER(SEARCH(_xlpm.keywords, _xlpm.text))),
  IF(COUNTA(_xlpm.matches) &gt; 0, INDEX(_xlpm.matches, 1), "")
)</f>
        <v>ProBook</v>
      </c>
      <c r="E5" t="str" cm="1">
        <f t="array" ref="E5">_xlfn.LET(
  _xlpm.text, " " &amp; B5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F5" t="s">
        <v>9</v>
      </c>
      <c r="G5" t="str">
        <f t="shared" si="0"/>
        <v>https://www8.hp.com/h20195/v2/GetDocument.aspx?docname=c06907936</v>
      </c>
    </row>
    <row r="6" spans="1:7" x14ac:dyDescent="0.25">
      <c r="A6" t="s">
        <v>16</v>
      </c>
      <c r="B6" t="s">
        <v>17</v>
      </c>
      <c r="C6" t="str" cm="1">
        <f t="array" ref="C6">_xlfn.LET(
  _xlpm.text, B6,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6" t="str" cm="1">
        <f t="array" ref="D6">_xlfn.LET(
  _xlpm.text, B6,
  _xlpm.keywords, Category!$A$1:$A$100,
  _xlpm.matches, _xlfn._xlws.FILTER(_xlpm.keywords, ISNUMBER(SEARCH(_xlpm.keywords, _xlpm.text))),
  IF(COUNTA(_xlpm.matches) &gt; 0, INDEX(_xlpm.matches, 1), "")
)</f>
        <v>ChromeBook</v>
      </c>
      <c r="E6" t="str" cm="1">
        <f t="array" ref="E6">_xlfn.LET(
  _xlpm.text, " " &amp; B6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6" t="s">
        <v>9</v>
      </c>
      <c r="G6" t="str">
        <f t="shared" si="0"/>
        <v>https://www8.hp.com/h20195/v2/GetDocument.aspx?docname=c06951538</v>
      </c>
    </row>
    <row r="7" spans="1:7" x14ac:dyDescent="0.25">
      <c r="A7" t="s">
        <v>18</v>
      </c>
      <c r="B7" t="s">
        <v>19</v>
      </c>
      <c r="C7" t="s">
        <v>20</v>
      </c>
      <c r="D7" t="s">
        <v>21</v>
      </c>
      <c r="E7" t="str" cm="1">
        <f t="array" ref="E7">_xlfn.LET(
  _xlpm.text, " " &amp; B7 &amp; " ",
  _xlpm.keywords, GenList!$A$1:$A$100,
  _xlpm.paddedKeywords, " " &amp; _xlpm.keywords &amp; " ",
  _xlpm.matches, _xlfn._xlws.FILTER(_xlpm.keywords, ISNUMBER(SEARCH(_xlpm.paddedKeywords, _xlpm.text))),
  IFERROR(INDEX(_xlpm.matches, 1), "")
)</f>
        <v>G1</v>
      </c>
      <c r="G7" t="str">
        <f t="shared" si="0"/>
        <v>https://www8.hp.com/h20195/v2/GetDocument.aspx?docname=c06523874</v>
      </c>
    </row>
    <row r="8" spans="1:7" x14ac:dyDescent="0.25">
      <c r="A8" t="s">
        <v>22</v>
      </c>
      <c r="B8" t="s">
        <v>23</v>
      </c>
      <c r="C8" t="str" cm="1">
        <f t="array" ref="C8">_xlfn.LET(
  _xlpm.text, B8,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8" t="str" cm="1">
        <f t="array" ref="D8">_xlfn.LET(
  _xlpm.text, B8,
  _xlpm.keywords, Category!$A$1:$A$100,
  _xlpm.matches, _xlfn._xlws.FILTER(_xlpm.keywords, ISNUMBER(SEARCH(_xlpm.keywords, _xlpm.text))),
  IF(COUNTA(_xlpm.matches) &gt; 0, INDEX(_xlpm.matches, 1), "")
)</f>
        <v>Printer</v>
      </c>
      <c r="E8" t="str" cm="1">
        <f t="array" ref="E8">_xlfn.LET(
  _xlpm.text, " " &amp; B8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8" t="str">
        <f t="shared" si="0"/>
        <v>https://www8.hp.com/h20195/v2/GetDocument.aspx?docname=c07833187</v>
      </c>
    </row>
    <row r="9" spans="1:7" x14ac:dyDescent="0.25">
      <c r="A9" t="s">
        <v>24</v>
      </c>
      <c r="B9" t="s">
        <v>25</v>
      </c>
      <c r="C9" t="str" cm="1">
        <f t="array" ref="C9">_xlfn.LET(
  _xlpm.text, B9,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9" t="str" cm="1">
        <f t="array" ref="D9">_xlfn.LET(
  _xlpm.text, B9,
  _xlpm.keywords, Category!$A$1:$A$100,
  _xlpm.matches, _xlfn._xlws.FILTER(_xlpm.keywords, ISNUMBER(SEARCH(_xlpm.keywords, _xlpm.text))),
  IF(COUNTA(_xlpm.matches) &gt; 0, INDEX(_xlpm.matches, 1), "")
)</f>
        <v>ChromeBook</v>
      </c>
      <c r="E9" t="str" cm="1">
        <f t="array" ref="E9">_xlfn.LET(
  _xlpm.text, " " &amp; B9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9" t="s">
        <v>9</v>
      </c>
      <c r="G9" t="str">
        <f t="shared" si="0"/>
        <v>https://www8.hp.com/h20195/v2/GetDocument.aspx?docname=c07028700</v>
      </c>
    </row>
    <row r="10" spans="1:7" x14ac:dyDescent="0.25">
      <c r="A10" t="s">
        <v>26</v>
      </c>
      <c r="B10" t="s">
        <v>27</v>
      </c>
      <c r="C10" t="str" cm="1">
        <f t="array" ref="C10">_xlfn.LET(
  _xlpm.text, B10,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0" t="s">
        <v>28</v>
      </c>
      <c r="E10" t="str" cm="1">
        <f t="array" ref="E10">_xlfn.LET(
  _xlpm.text, " " &amp; B10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10" t="str">
        <f t="shared" si="0"/>
        <v>https://www8.hp.com/h20195/v2/GetDocument.aspx?docname=c08142928</v>
      </c>
    </row>
    <row r="11" spans="1:7" x14ac:dyDescent="0.25">
      <c r="A11" t="s">
        <v>29</v>
      </c>
      <c r="B11" t="s">
        <v>30</v>
      </c>
      <c r="C11" t="s">
        <v>20</v>
      </c>
      <c r="D11" t="s">
        <v>21</v>
      </c>
      <c r="E11" t="str" cm="1">
        <f t="array" ref="E11">_xlfn.LET(
  _xlpm.text, " " &amp; B11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11" t="str">
        <f t="shared" si="0"/>
        <v>https://www8.hp.com/h20195/v2/GetDocument.aspx?docname=c06636833</v>
      </c>
    </row>
    <row r="12" spans="1:7" x14ac:dyDescent="0.25">
      <c r="A12" t="s">
        <v>31</v>
      </c>
      <c r="B12" t="s">
        <v>32</v>
      </c>
      <c r="C12" t="str" cm="1">
        <f t="array" ref="C12">_xlfn.LET(
  _xlpm.text, B12,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2" t="str" cm="1">
        <f t="array" ref="D12">_xlfn.LET(
  _xlpm.text, B12,
  _xlpm.keywords, Category!$A$1:$A$100,
  _xlpm.matches, _xlfn._xlws.FILTER(_xlpm.keywords, ISNUMBER(SEARCH(_xlpm.keywords, _xlpm.text))),
  IF(COUNTA(_xlpm.matches) &gt; 0, INDEX(_xlpm.matches, 1), "")
)</f>
        <v>Thin Client</v>
      </c>
      <c r="E12" t="str" cm="1">
        <f t="array" ref="E12">_xlfn.LET(
  _xlpm.text, " " &amp; B12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" t="str">
        <f t="shared" si="0"/>
        <v>https://www8.hp.com/h20195/v2/GetDocument.aspx?docname=c04984422</v>
      </c>
    </row>
    <row r="13" spans="1:7" x14ac:dyDescent="0.25">
      <c r="A13" t="s">
        <v>33</v>
      </c>
      <c r="B13" t="s">
        <v>34</v>
      </c>
      <c r="C13" t="str" cm="1">
        <f t="array" ref="C13">_xlfn.LET(
  _xlpm.text, B13,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3" t="str" cm="1">
        <f t="array" ref="D13">_xlfn.LET(
  _xlpm.text, B13,
  _xlpm.keywords, Category!$A$1:$A$100,
  _xlpm.matches, _xlfn._xlws.FILTER(_xlpm.keywords, ISNUMBER(SEARCH(_xlpm.keywords, _xlpm.text))),
  IF(COUNTA(_xlpm.matches) &gt; 0, INDEX(_xlpm.matches, 1), "")
)</f>
        <v>Thin Client</v>
      </c>
      <c r="E13" t="str" cm="1">
        <f t="array" ref="E13">_xlfn.LET(
  _xlpm.text, " " &amp; B13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3" t="str">
        <f t="shared" si="0"/>
        <v>https://www8.hp.com/h20195/v2/GetDocument.aspx?docname=c04957273</v>
      </c>
    </row>
    <row r="14" spans="1:7" x14ac:dyDescent="0.25">
      <c r="A14" t="s">
        <v>35</v>
      </c>
      <c r="B14" t="s">
        <v>36</v>
      </c>
      <c r="C14" t="str" cm="1">
        <f t="array" ref="C14">_xlfn.LET(
  _xlpm.text, B14,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4" t="s">
        <v>1151</v>
      </c>
      <c r="E14" t="str" cm="1">
        <f t="array" ref="E14">_xlfn.LET(
  _xlpm.text, " " &amp; B14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4" t="str">
        <f t="shared" si="0"/>
        <v>https://www8.hp.com/h20195/v2/GetDocument.aspx?docname=c05561757</v>
      </c>
    </row>
    <row r="15" spans="1:7" x14ac:dyDescent="0.25">
      <c r="A15" t="s">
        <v>37</v>
      </c>
      <c r="B15" t="s">
        <v>38</v>
      </c>
      <c r="C15" t="str" cm="1">
        <f t="array" ref="C15">_xlfn.LET(
  _xlpm.text, B15,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15" t="s">
        <v>47</v>
      </c>
      <c r="E15" t="str" cm="1">
        <f t="array" ref="E15">_xlfn.LET(
  _xlpm.text, " " &amp; B15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5" t="str">
        <f t="shared" si="0"/>
        <v>https://www8.hp.com/h20195/v2/GetDocument.aspx?docname=c05105339</v>
      </c>
    </row>
    <row r="16" spans="1:7" x14ac:dyDescent="0.25">
      <c r="A16" t="s">
        <v>39</v>
      </c>
      <c r="B16" t="s">
        <v>40</v>
      </c>
      <c r="C16" t="s">
        <v>41</v>
      </c>
      <c r="D16" t="s">
        <v>42</v>
      </c>
      <c r="E16" t="str" cm="1">
        <f t="array" ref="E16">_xlfn.LET(
  _xlpm.text, " " &amp; B16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F16" t="s">
        <v>9</v>
      </c>
      <c r="G16" t="str">
        <f t="shared" si="0"/>
        <v>https://www8.hp.com/h20195/v2/GetDocument.aspx?docname=c06457771</v>
      </c>
    </row>
    <row r="17" spans="1:7" x14ac:dyDescent="0.25">
      <c r="A17" t="s">
        <v>43</v>
      </c>
      <c r="B17" t="s">
        <v>44</v>
      </c>
      <c r="C17" t="str" cm="1">
        <f t="array" ref="C17">_xlfn.LET(
  _xlpm.text, B17,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7" t="str" cm="1">
        <f t="array" ref="D17">_xlfn.LET(
  _xlpm.text, B17,
  _xlpm.keywords, Category!$A$1:$A$100,
  _xlpm.matches, _xlfn._xlws.FILTER(_xlpm.keywords, ISNUMBER(SEARCH(_xlpm.keywords, _xlpm.text))),
  IF(COUNTA(_xlpm.matches) &gt; 0, INDEX(_xlpm.matches, 1), "")
)</f>
        <v>EliteDesk</v>
      </c>
      <c r="E17" t="str" cm="1">
        <f t="array" ref="E17">_xlfn.LET(
  _xlpm.text, " " &amp; B17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17" t="str">
        <f t="shared" si="0"/>
        <v>https://www8.hp.com/h20195/v2/GetDocument.aspx?docname=c07048012</v>
      </c>
    </row>
    <row r="18" spans="1:7" x14ac:dyDescent="0.25">
      <c r="A18" t="s">
        <v>45</v>
      </c>
      <c r="B18" t="s">
        <v>46</v>
      </c>
      <c r="C18" t="s">
        <v>41</v>
      </c>
      <c r="D18" t="s">
        <v>47</v>
      </c>
      <c r="E18" t="str" cm="1">
        <f t="array" ref="E18">_xlfn.LET(
  _xlpm.text, " " &amp; B18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8" t="s">
        <v>9</v>
      </c>
      <c r="G18" t="str">
        <f t="shared" si="0"/>
        <v>https://www8.hp.com/h20195/v2/GetDocument.aspx?docname=c06774625</v>
      </c>
    </row>
    <row r="19" spans="1:7" x14ac:dyDescent="0.25">
      <c r="A19" t="s">
        <v>48</v>
      </c>
      <c r="B19" t="s">
        <v>49</v>
      </c>
      <c r="C19" t="s">
        <v>41</v>
      </c>
      <c r="D19" t="s">
        <v>47</v>
      </c>
      <c r="E19" t="str" cm="1">
        <f t="array" ref="E19">_xlfn.LET(
  _xlpm.text, " " &amp; B19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9" t="str">
        <f t="shared" si="0"/>
        <v>https://www8.hp.com/h20195/v2/GetDocument.aspx?docname=c06057951</v>
      </c>
    </row>
    <row r="20" spans="1:7" x14ac:dyDescent="0.25">
      <c r="A20" t="s">
        <v>50</v>
      </c>
      <c r="B20" t="s">
        <v>51</v>
      </c>
      <c r="C20" t="str" cm="1">
        <f t="array" ref="C20">_xlfn.LET(
  _xlpm.text, B20,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0" t="s">
        <v>28</v>
      </c>
      <c r="E20" t="str" cm="1">
        <f t="array" ref="E20">_xlfn.LET(
  _xlpm.text, " " &amp; B20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20" t="s">
        <v>9</v>
      </c>
      <c r="G20" t="str">
        <f t="shared" si="0"/>
        <v>https://www8.hp.com/h20195/v2/GetDocument.aspx?docname=c06220112</v>
      </c>
    </row>
    <row r="21" spans="1:7" x14ac:dyDescent="0.25">
      <c r="A21" t="s">
        <v>52</v>
      </c>
      <c r="B21" t="s">
        <v>53</v>
      </c>
      <c r="C21" t="str" cm="1">
        <f t="array" ref="C21">_xlfn.LET(
  _xlpm.text, B21,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1" t="s">
        <v>1153</v>
      </c>
      <c r="E21" t="str" cm="1">
        <f t="array" ref="E21">_xlfn.LET(
  _xlpm.text, " " &amp; B21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21" t="s">
        <v>9</v>
      </c>
      <c r="G21" t="str">
        <f t="shared" si="0"/>
        <v>https://www8.hp.com/h20195/v2/GetDocument.aspx?docname=c06471245</v>
      </c>
    </row>
    <row r="22" spans="1:7" x14ac:dyDescent="0.25">
      <c r="A22" t="s">
        <v>54</v>
      </c>
      <c r="B22" t="s">
        <v>55</v>
      </c>
      <c r="C22" t="s">
        <v>20</v>
      </c>
      <c r="D22" t="s">
        <v>56</v>
      </c>
      <c r="E22" t="str" cm="1">
        <f t="array" ref="E22">_xlfn.LET(
  _xlpm.text, " " &amp; B22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22" t="s">
        <v>9</v>
      </c>
      <c r="G22" t="str">
        <f t="shared" si="0"/>
        <v>https://www8.hp.com/h20195/v2/GetDocument.aspx?docname=c06133533</v>
      </c>
    </row>
    <row r="23" spans="1:7" x14ac:dyDescent="0.25">
      <c r="A23" t="s">
        <v>57</v>
      </c>
      <c r="B23" t="s">
        <v>58</v>
      </c>
      <c r="C23" t="s">
        <v>59</v>
      </c>
      <c r="D23" t="s">
        <v>47</v>
      </c>
      <c r="E23" t="str" cm="1">
        <f t="array" ref="E23">_xlfn.LET(
  _xlpm.text, " " &amp; B23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23" t="s">
        <v>9</v>
      </c>
      <c r="G23" t="str">
        <f t="shared" si="0"/>
        <v>https://www8.hp.com/h20195/v2/GetDocument.aspx?docname=c06113165</v>
      </c>
    </row>
    <row r="24" spans="1:7" x14ac:dyDescent="0.25">
      <c r="A24" t="s">
        <v>60</v>
      </c>
      <c r="B24" t="s">
        <v>61</v>
      </c>
      <c r="C24" t="str" cm="1">
        <f t="array" ref="C24">_xlfn.LET(
  _xlpm.text, B24,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4" t="str" cm="1">
        <f t="array" ref="D24">_xlfn.LET(
  _xlpm.text, B24,
  _xlpm.keywords, Category!$A$1:$A$100,
  _xlpm.matches, _xlfn._xlws.FILTER(_xlpm.keywords, ISNUMBER(SEARCH(_xlpm.keywords, _xlpm.text))),
  IF(COUNTA(_xlpm.matches) &gt; 0, INDEX(_xlpm.matches, 1), "")
)</f>
        <v>ProBook</v>
      </c>
      <c r="E24" t="str" cm="1">
        <f t="array" ref="E24">_xlfn.LET(
  _xlpm.text, " " &amp; B24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F24" t="s">
        <v>9</v>
      </c>
      <c r="G24" t="str">
        <f t="shared" si="0"/>
        <v>https://www8.hp.com/h20195/v2/GetDocument.aspx?docname=c07000417</v>
      </c>
    </row>
    <row r="25" spans="1:7" x14ac:dyDescent="0.25">
      <c r="A25" t="s">
        <v>62</v>
      </c>
      <c r="B25" t="s">
        <v>63</v>
      </c>
      <c r="C25" t="str" cm="1">
        <f t="array" ref="C25">_xlfn.LET(
  _xlpm.text, B25,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5" t="str" cm="1">
        <f t="array" ref="D25">_xlfn.LET(
  _xlpm.text, B25,
  _xlpm.keywords, Category!$A$1:$A$100,
  _xlpm.matches, _xlfn._xlws.FILTER(_xlpm.keywords, ISNUMBER(SEARCH(_xlpm.keywords, _xlpm.text))),
  IF(COUNTA(_xlpm.matches) &gt; 0, INDEX(_xlpm.matches, 1), "")
)</f>
        <v>ZBook</v>
      </c>
      <c r="E25" t="str" cm="1">
        <f t="array" ref="E25">_xlfn.LET(
  _xlpm.text, " " &amp; B25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25" t="str">
        <f t="shared" si="0"/>
        <v>https://www8.hp.com/h20195/v2/GetDocument.aspx?docname=c06647615</v>
      </c>
    </row>
    <row r="26" spans="1:7" x14ac:dyDescent="0.25">
      <c r="A26" t="s">
        <v>64</v>
      </c>
      <c r="B26" t="s">
        <v>65</v>
      </c>
      <c r="C26" t="str" cm="1">
        <f t="array" ref="C26">_xlfn.LET(
  _xlpm.text, B26,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6" t="str" cm="1">
        <f t="array" ref="D26">_xlfn.LET(
  _xlpm.text, B26,
  _xlpm.keywords, Category!$A$1:$A$100,
  _xlpm.matches, _xlfn._xlws.FILTER(_xlpm.keywords, ISNUMBER(SEARCH(_xlpm.keywords, _xlpm.text))),
  IF(COUNTA(_xlpm.matches) &gt; 0, INDEX(_xlpm.matches, 1), "")
)</f>
        <v>ZBook</v>
      </c>
      <c r="E26" t="str" cm="1">
        <f t="array" ref="E26">_xlfn.LET(
  _xlpm.text, " " &amp; B26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26" t="str">
        <f t="shared" si="0"/>
        <v>https://www8.hp.com/h20195/v2/GetDocument.aspx?docname=c06647621</v>
      </c>
    </row>
    <row r="27" spans="1:7" x14ac:dyDescent="0.25">
      <c r="A27" t="s">
        <v>66</v>
      </c>
      <c r="B27" t="s">
        <v>67</v>
      </c>
      <c r="C27" t="s">
        <v>59</v>
      </c>
      <c r="D27" t="s">
        <v>47</v>
      </c>
      <c r="E27" t="str" cm="1">
        <f t="array" ref="E27">_xlfn.LET(
  _xlpm.text, " " &amp; B27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7" t="str">
        <f t="shared" si="0"/>
        <v>https://www8.hp.com/h20195/v2/GetDocument.aspx?docname=c08701375</v>
      </c>
    </row>
    <row r="28" spans="1:7" x14ac:dyDescent="0.25">
      <c r="A28" t="s">
        <v>68</v>
      </c>
      <c r="B28" t="s">
        <v>69</v>
      </c>
      <c r="C28" t="s">
        <v>59</v>
      </c>
      <c r="D28" t="s">
        <v>70</v>
      </c>
      <c r="E28" t="str" cm="1">
        <f t="array" ref="E28">_xlfn.LET(
  _xlpm.text, " " &amp; B28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" t="str">
        <f t="shared" si="0"/>
        <v>https://www8.hp.com/h20195/v2/GetDocument.aspx?docname=c06227520</v>
      </c>
    </row>
    <row r="29" spans="1:7" x14ac:dyDescent="0.25">
      <c r="A29" t="s">
        <v>71</v>
      </c>
      <c r="B29" t="s">
        <v>72</v>
      </c>
      <c r="C29" t="s">
        <v>59</v>
      </c>
      <c r="D29" t="s">
        <v>70</v>
      </c>
      <c r="E29" t="str" cm="1">
        <f t="array" ref="E29">_xlfn.LET(
  _xlpm.text, " " &amp; B29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9" t="str">
        <f t="shared" si="0"/>
        <v>https://www8.hp.com/h20195/v2/GetDocument.aspx?docname=c06102441</v>
      </c>
    </row>
    <row r="30" spans="1:7" x14ac:dyDescent="0.25">
      <c r="A30" t="s">
        <v>73</v>
      </c>
      <c r="B30" t="s">
        <v>74</v>
      </c>
      <c r="C30" t="str" cm="1">
        <f t="array" ref="C30">_xlfn.LET(
  _xlpm.text, B30,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0" t="s">
        <v>75</v>
      </c>
      <c r="E30" t="str" cm="1">
        <f t="array" ref="E30">_xlfn.LET(
  _xlpm.text, " " &amp; B30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30" t="str">
        <f t="shared" si="0"/>
        <v>https://www8.hp.com/h20195/v2/GetDocument.aspx?docname=c07068977</v>
      </c>
    </row>
    <row r="31" spans="1:7" x14ac:dyDescent="0.25">
      <c r="A31" t="s">
        <v>76</v>
      </c>
      <c r="B31" t="s">
        <v>77</v>
      </c>
      <c r="C31" t="str" cm="1">
        <f t="array" ref="C31">_xlfn.LET(
  _xlpm.text, B31,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1" t="s">
        <v>78</v>
      </c>
      <c r="E31" t="str" cm="1">
        <f t="array" ref="E31">_xlfn.LET(
  _xlpm.text, " " &amp; B31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1" t="str">
        <f t="shared" si="0"/>
        <v>https://www8.hp.com/h20195/v2/GetDocument.aspx?docname=c07072827</v>
      </c>
    </row>
    <row r="32" spans="1:7" x14ac:dyDescent="0.25">
      <c r="A32" t="s">
        <v>79</v>
      </c>
      <c r="B32" t="s">
        <v>80</v>
      </c>
      <c r="C32" t="str" cm="1">
        <f t="array" ref="C32">_xlfn.LET(
  _xlpm.text, B32,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2" t="str" cm="1">
        <f t="array" ref="D32">_xlfn.LET(
  _xlpm.text, B32,
  _xlpm.keywords, Category!$A$1:$A$100,
  _xlpm.matches, _xlfn._xlws.FILTER(_xlpm.keywords, ISNUMBER(SEARCH(_xlpm.keywords, _xlpm.text))),
  IF(COUNTA(_xlpm.matches) &gt; 0, INDEX(_xlpm.matches, 1), "")
)</f>
        <v>Printer</v>
      </c>
      <c r="E32" t="str" cm="1">
        <f t="array" ref="E32">_xlfn.LET(
  _xlpm.text, " " &amp; B32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2" t="str">
        <f t="shared" si="0"/>
        <v>https://www8.hp.com/h20195/v2/GetDocument.aspx?docname=c06002139</v>
      </c>
    </row>
    <row r="33" spans="1:7" x14ac:dyDescent="0.25">
      <c r="A33" t="s">
        <v>81</v>
      </c>
      <c r="B33" t="s">
        <v>82</v>
      </c>
      <c r="C33" t="str" cm="1">
        <f t="array" ref="C33">_xlfn.LET(
  _xlpm.text, B33,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3" t="s">
        <v>28</v>
      </c>
      <c r="E33" t="str" cm="1">
        <f t="array" ref="E33">_xlfn.LET(
  _xlpm.text, " " &amp; B33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33" t="str">
        <f t="shared" si="0"/>
        <v>https://www8.hp.com/h20195/v2/GetDocument.aspx?docname=c08747764</v>
      </c>
    </row>
    <row r="34" spans="1:7" x14ac:dyDescent="0.25">
      <c r="A34" t="s">
        <v>83</v>
      </c>
      <c r="B34" t="s">
        <v>84</v>
      </c>
      <c r="C34" t="str" cm="1">
        <f t="array" ref="C34">_xlfn.LET(
  _xlpm.text, B34,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4" t="s">
        <v>85</v>
      </c>
      <c r="E34" t="str" cm="1">
        <f t="array" ref="E34">_xlfn.LET(
  _xlpm.text, " " &amp; B34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4" t="str">
        <f t="shared" si="0"/>
        <v>https://www8.hp.com/h20195/v2/GetDocument.aspx?docname=c08392793</v>
      </c>
    </row>
    <row r="35" spans="1:7" x14ac:dyDescent="0.25">
      <c r="A35" t="s">
        <v>86</v>
      </c>
      <c r="B35" t="s">
        <v>87</v>
      </c>
      <c r="C35" t="s">
        <v>88</v>
      </c>
      <c r="D35" t="s">
        <v>89</v>
      </c>
      <c r="E35" t="str" cm="1">
        <f t="array" ref="E35">_xlfn.LET(
  _xlpm.text, " " &amp; B35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5" t="str">
        <f t="shared" si="0"/>
        <v>https://www8.hp.com/h20195/v2/GetDocument.aspx?docname=c06137581</v>
      </c>
    </row>
    <row r="36" spans="1:7" x14ac:dyDescent="0.25">
      <c r="A36" t="s">
        <v>90</v>
      </c>
      <c r="B36" t="s">
        <v>91</v>
      </c>
      <c r="C36" t="s">
        <v>59</v>
      </c>
      <c r="D36" t="s">
        <v>1159</v>
      </c>
      <c r="E36" t="str" cm="1">
        <f t="array" ref="E36">_xlfn.LET(
  _xlpm.text, " " &amp; B36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36" t="str">
        <f t="shared" si="0"/>
        <v>https://www8.hp.com/h20195/v2/GetDocument.aspx?docname=c06718497</v>
      </c>
    </row>
    <row r="37" spans="1:7" x14ac:dyDescent="0.25">
      <c r="A37" t="s">
        <v>93</v>
      </c>
      <c r="B37" t="s">
        <v>94</v>
      </c>
      <c r="C37" t="str" cm="1">
        <f t="array" ref="C37">_xlfn.LET(
  _xlpm.text, B37,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7" t="s">
        <v>95</v>
      </c>
      <c r="E37" t="str" cm="1">
        <f t="array" ref="E37">_xlfn.LET(
  _xlpm.text, " " &amp; B37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7" t="s">
        <v>9</v>
      </c>
      <c r="G37" t="str">
        <f t="shared" si="0"/>
        <v>https://www8.hp.com/h20195/v2/GetDocument.aspx?docname=c06208538</v>
      </c>
    </row>
    <row r="38" spans="1:7" x14ac:dyDescent="0.25">
      <c r="A38" t="s">
        <v>96</v>
      </c>
      <c r="B38" t="s">
        <v>97</v>
      </c>
      <c r="C38" t="str" cm="1">
        <f t="array" ref="C38">_xlfn.LET(
  _xlpm.text, B38,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8" t="s">
        <v>75</v>
      </c>
      <c r="E38" t="str" cm="1">
        <f t="array" ref="E38">_xlfn.LET(
  _xlpm.text, " " &amp; B38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38" t="str">
        <f t="shared" si="0"/>
        <v>https://www8.hp.com/h20195/v2/GetDocument.aspx?docname=c07606978</v>
      </c>
    </row>
    <row r="39" spans="1:7" x14ac:dyDescent="0.25">
      <c r="A39" t="s">
        <v>98</v>
      </c>
      <c r="B39" t="s">
        <v>99</v>
      </c>
      <c r="C39" t="str" cm="1">
        <f t="array" ref="C39">_xlfn.LET(
  _xlpm.text, B39,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9" t="s">
        <v>85</v>
      </c>
      <c r="E39" t="str" cm="1">
        <f t="array" ref="E39">_xlfn.LET(
  _xlpm.text, " " &amp; B39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39" t="str">
        <f t="shared" si="0"/>
        <v>https://www8.hp.com/h20195/v2/GetDocument.aspx?docname=c06790038</v>
      </c>
    </row>
    <row r="40" spans="1:7" x14ac:dyDescent="0.25">
      <c r="A40" t="s">
        <v>100</v>
      </c>
      <c r="B40" t="s">
        <v>101</v>
      </c>
      <c r="C40" t="str" cm="1">
        <f t="array" ref="C40">_xlfn.LET(
  _xlpm.text, B40,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0" t="s">
        <v>75</v>
      </c>
      <c r="E40" t="str" cm="1">
        <f t="array" ref="E40">_xlfn.LET(
  _xlpm.text, " " &amp; B40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40" t="s">
        <v>9</v>
      </c>
      <c r="G40" t="str">
        <f t="shared" si="0"/>
        <v>https://www8.hp.com/h20195/v2/GetDocument.aspx?docname=c06631165</v>
      </c>
    </row>
    <row r="41" spans="1:7" x14ac:dyDescent="0.25">
      <c r="A41" t="s">
        <v>102</v>
      </c>
      <c r="B41" t="s">
        <v>103</v>
      </c>
      <c r="C41" t="str" cm="1">
        <f t="array" ref="C41">_xlfn.LET(
  _xlpm.text, B41,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1" t="str" cm="1">
        <f t="array" ref="D41">_xlfn.LET(
  _xlpm.text, B41,
  _xlpm.keywords, Category!$A$1:$A$100,
  _xlpm.matches, _xlfn._xlws.FILTER(_xlpm.keywords, ISNUMBER(SEARCH(_xlpm.keywords, _xlpm.text))),
  IF(COUNTA(_xlpm.matches) &gt; 0, INDEX(_xlpm.matches, 1), "")
)</f>
        <v>ZBook</v>
      </c>
      <c r="E41" t="str" cm="1">
        <f t="array" ref="E41">_xlfn.LET(
  _xlpm.text, " " &amp; B41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41" t="str">
        <f t="shared" si="0"/>
        <v>https://www8.hp.com/h20195/v2/GetDocument.aspx?docname=c06887416</v>
      </c>
    </row>
    <row r="42" spans="1:7" x14ac:dyDescent="0.25">
      <c r="A42" t="s">
        <v>104</v>
      </c>
      <c r="B42" t="s">
        <v>105</v>
      </c>
      <c r="C42" t="str" cm="1">
        <f t="array" ref="C42">_xlfn.LET(
  _xlpm.text, B42,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2" t="s">
        <v>75</v>
      </c>
      <c r="E42" t="str" cm="1">
        <f t="array" ref="E42">_xlfn.LET(
  _xlpm.text, " " &amp; B42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42" t="s">
        <v>9</v>
      </c>
      <c r="G42" t="str">
        <f t="shared" si="0"/>
        <v>https://www8.hp.com/h20195/v2/GetDocument.aspx?docname=c06275004</v>
      </c>
    </row>
    <row r="43" spans="1:7" x14ac:dyDescent="0.25">
      <c r="A43" t="s">
        <v>106</v>
      </c>
      <c r="B43" t="s">
        <v>107</v>
      </c>
      <c r="C43" t="s">
        <v>108</v>
      </c>
      <c r="D43" t="s">
        <v>85</v>
      </c>
      <c r="E43" t="str" cm="1">
        <f t="array" ref="E43">_xlfn.LET(
  _xlpm.text, " " &amp; B43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43" t="s">
        <v>9</v>
      </c>
      <c r="G43" t="str">
        <f t="shared" si="0"/>
        <v>https://www8.hp.com/h20195/v2/GetDocument.aspx?docname=c06489909</v>
      </c>
    </row>
    <row r="44" spans="1:7" x14ac:dyDescent="0.25">
      <c r="A44" t="s">
        <v>109</v>
      </c>
      <c r="B44" t="s">
        <v>110</v>
      </c>
      <c r="C44" t="str" cm="1">
        <f t="array" ref="C44">_xlfn.LET(
  _xlpm.text, B44,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44" t="s">
        <v>1159</v>
      </c>
      <c r="E44" t="str" cm="1">
        <f t="array" ref="E44">_xlfn.LET(
  _xlpm.text, " " &amp; B44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4" t="str">
        <f t="shared" si="0"/>
        <v>https://www8.hp.com/h20195/v2/GetDocument.aspx?docname=c06724012</v>
      </c>
    </row>
    <row r="45" spans="1:7" x14ac:dyDescent="0.25">
      <c r="A45" t="s">
        <v>111</v>
      </c>
      <c r="B45" t="s">
        <v>112</v>
      </c>
      <c r="C45" t="str" cm="1">
        <f t="array" ref="C45">_xlfn.LET(
  _xlpm.text, B45,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5" t="str" cm="1">
        <f t="array" ref="D45">_xlfn.LET(
  _xlpm.text, B45,
  _xlpm.keywords, Category!$A$1:$A$100,
  _xlpm.matches, _xlfn._xlws.FILTER(_xlpm.keywords, ISNUMBER(SEARCH(_xlpm.keywords, _xlpm.text))),
  IF(COUNTA(_xlpm.matches) &gt; 0, INDEX(_xlpm.matches, 1), "")
)</f>
        <v>EliteOne</v>
      </c>
      <c r="E45" t="str" cm="1">
        <f t="array" ref="E45">_xlfn.LET(
  _xlpm.text, " " &amp; B45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5" t="str">
        <f t="shared" si="0"/>
        <v>https://www8.hp.com/h20195/v2/GetDocument.aspx?docname=c05389396</v>
      </c>
    </row>
    <row r="46" spans="1:7" x14ac:dyDescent="0.25">
      <c r="A46" t="s">
        <v>113</v>
      </c>
      <c r="B46" t="s">
        <v>114</v>
      </c>
      <c r="C46" t="str" cm="1">
        <f t="array" ref="C46">_xlfn.LET(
  _xlpm.text, B46,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6" t="s">
        <v>75</v>
      </c>
      <c r="E46" t="str" cm="1">
        <f t="array" ref="E46">_xlfn.LET(
  _xlpm.text, " " &amp; B46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6" t="str">
        <f t="shared" si="0"/>
        <v>https://www8.hp.com/h20195/v2/GetDocument.aspx?docname=c06724394</v>
      </c>
    </row>
    <row r="47" spans="1:7" x14ac:dyDescent="0.25">
      <c r="A47" t="s">
        <v>115</v>
      </c>
      <c r="B47" t="s">
        <v>116</v>
      </c>
      <c r="C47" t="str" cm="1">
        <f t="array" ref="C47">_xlfn.LET(
  _xlpm.text, B47,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7" t="str" cm="1">
        <f t="array" ref="D47">_xlfn.LET(
  _xlpm.text, B47,
  _xlpm.keywords, Category!$A$1:$A$100,
  _xlpm.matches, _xlfn._xlws.FILTER(_xlpm.keywords, ISNUMBER(SEARCH(_xlpm.keywords, _xlpm.text))),
  IF(COUNTA(_xlpm.matches) &gt; 0, INDEX(_xlpm.matches, 1), "")
)</f>
        <v>ZBook</v>
      </c>
      <c r="E47" t="str" cm="1">
        <f t="array" ref="E47">_xlfn.LET(
  _xlpm.text, " " &amp; B47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47" t="str">
        <f t="shared" si="0"/>
        <v>https://www8.hp.com/h20195/v2/GetDocument.aspx?docname=c06710300</v>
      </c>
    </row>
    <row r="48" spans="1:7" x14ac:dyDescent="0.25">
      <c r="A48" t="s">
        <v>117</v>
      </c>
      <c r="B48" t="s">
        <v>118</v>
      </c>
      <c r="C48" t="s">
        <v>59</v>
      </c>
      <c r="D48" t="s">
        <v>47</v>
      </c>
      <c r="E48" t="str" cm="1">
        <f t="array" ref="E48">_xlfn.LET(
  _xlpm.text, " " &amp; B48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8" t="str">
        <f t="shared" si="0"/>
        <v>https://www8.hp.com/h20195/v2/GetDocument.aspx?docname=c04798669</v>
      </c>
    </row>
    <row r="49" spans="1:7" x14ac:dyDescent="0.25">
      <c r="A49" t="s">
        <v>119</v>
      </c>
      <c r="B49" t="s">
        <v>120</v>
      </c>
      <c r="C49" t="str" cm="1">
        <f t="array" ref="C49">_xlfn.LET(
  _xlpm.text, B49,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9" t="s">
        <v>85</v>
      </c>
      <c r="E49" t="str" cm="1">
        <f t="array" ref="E49">_xlfn.LET(
  _xlpm.text, " " &amp; B49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9" t="str">
        <f t="shared" si="0"/>
        <v>https://www8.hp.com/h20195/v2/GetDocument.aspx?docname=c08392794</v>
      </c>
    </row>
    <row r="50" spans="1:7" x14ac:dyDescent="0.25">
      <c r="A50" t="s">
        <v>121</v>
      </c>
      <c r="B50" t="s">
        <v>122</v>
      </c>
      <c r="C50" t="str" cm="1">
        <f t="array" ref="C50">_xlfn.LET(
  _xlpm.text, B50,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0" t="s">
        <v>75</v>
      </c>
      <c r="E50" t="str" cm="1">
        <f t="array" ref="E50">_xlfn.LET(
  _xlpm.text, " " &amp; B50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50" t="str">
        <f t="shared" si="0"/>
        <v>https://www8.hp.com/h20195/v2/GetDocument.aspx?docname=c08733836</v>
      </c>
    </row>
    <row r="51" spans="1:7" x14ac:dyDescent="0.25">
      <c r="A51" t="s">
        <v>123</v>
      </c>
      <c r="B51" t="s">
        <v>124</v>
      </c>
      <c r="C51" t="str" cm="1">
        <f t="array" ref="C51">_xlfn.LET(
  _xlpm.text, B51,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51" t="str" cm="1">
        <f t="array" ref="D51">_xlfn.LET(
  _xlpm.text, B51,
  _xlpm.keywords, Category!$A$1:$A$100,
  _xlpm.matches, _xlfn._xlws.FILTER(_xlpm.keywords, ISNUMBER(SEARCH(_xlpm.keywords, _xlpm.text))),
  IF(COUNTA(_xlpm.matches) &gt; 0, INDEX(_xlpm.matches, 1), "")
)</f>
        <v>ZBook</v>
      </c>
      <c r="E51" t="str" cm="1">
        <f t="array" ref="E51">_xlfn.LET(
  _xlpm.text, " " &amp; B51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51" t="str">
        <f t="shared" si="0"/>
        <v>https://www8.hp.com/h20195/v2/GetDocument.aspx?docname=c06305129</v>
      </c>
    </row>
    <row r="52" spans="1:7" x14ac:dyDescent="0.25">
      <c r="A52" t="s">
        <v>125</v>
      </c>
      <c r="B52" t="s">
        <v>126</v>
      </c>
      <c r="C52" t="str" cm="1">
        <f t="array" ref="C52">_xlfn.LET(
  _xlpm.text, B52,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2" t="str" cm="1">
        <f t="array" ref="D52">_xlfn.LET(
  _xlpm.text, B52,
  _xlpm.keywords, Category!$A$1:$A$100,
  _xlpm.matches, _xlfn._xlws.FILTER(_xlpm.keywords, ISNUMBER(SEARCH(_xlpm.keywords, _xlpm.text))),
  IF(COUNTA(_xlpm.matches) &gt; 0, INDEX(_xlpm.matches, 1), "")
)</f>
        <v>Engage</v>
      </c>
      <c r="E52" t="str" cm="1">
        <f t="array" ref="E52">_xlfn.LET(
  _xlpm.text, " " &amp; B52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2" t="str">
        <f t="shared" si="0"/>
        <v>https://www8.hp.com/h20195/v2/GetDocument.aspx?docname=c06208782</v>
      </c>
    </row>
    <row r="53" spans="1:7" x14ac:dyDescent="0.25">
      <c r="A53" t="s">
        <v>127</v>
      </c>
      <c r="B53" t="s">
        <v>128</v>
      </c>
      <c r="C53" t="str" cm="1">
        <f t="array" ref="C53">_xlfn.LET(
  _xlpm.text, B53,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3" t="s">
        <v>75</v>
      </c>
      <c r="E53" t="str" cm="1">
        <f t="array" ref="E53">_xlfn.LET(
  _xlpm.text, " " &amp; B53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53" t="str">
        <f t="shared" si="0"/>
        <v>https://www8.hp.com/h20195/v2/GetDocument.aspx?docname=c08262305</v>
      </c>
    </row>
    <row r="54" spans="1:7" x14ac:dyDescent="0.25">
      <c r="A54" t="s">
        <v>129</v>
      </c>
      <c r="B54" t="s">
        <v>130</v>
      </c>
      <c r="C54" t="s">
        <v>20</v>
      </c>
      <c r="D54" t="s">
        <v>89</v>
      </c>
      <c r="E54" t="str" cm="1">
        <f t="array" ref="E54">_xlfn.LET(
  _xlpm.text, " " &amp; B54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54" t="str">
        <f t="shared" si="0"/>
        <v>https://www8.hp.com/h20195/v2/GetDocument.aspx?docname=c08689018</v>
      </c>
    </row>
    <row r="55" spans="1:7" x14ac:dyDescent="0.25">
      <c r="A55" t="s">
        <v>131</v>
      </c>
      <c r="B55" t="s">
        <v>132</v>
      </c>
      <c r="C55" t="str" cm="1">
        <f t="array" ref="C55">_xlfn.LET(
  _xlpm.text, B55,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55" t="str" cm="1">
        <f t="array" ref="D55">_xlfn.LET(
  _xlpm.text, B55,
  _xlpm.keywords, Category!$A$1:$A$100,
  _xlpm.matches, _xlfn._xlws.FILTER(_xlpm.keywords, ISNUMBER(SEARCH(_xlpm.keywords, _xlpm.text))),
  IF(COUNTA(_xlpm.matches) &gt; 0, INDEX(_xlpm.matches, 1), "")
)</f>
        <v>ZBook</v>
      </c>
      <c r="E55" t="str" cm="1">
        <f t="array" ref="E55">_xlfn.LET(
  _xlpm.text, " " &amp; B55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5" t="str">
        <f t="shared" si="0"/>
        <v>https://www8.hp.com/h20195/v2/GetDocument.aspx?docname=c08148468</v>
      </c>
    </row>
    <row r="56" spans="1:7" x14ac:dyDescent="0.25">
      <c r="A56" t="s">
        <v>133</v>
      </c>
      <c r="B56" t="s">
        <v>134</v>
      </c>
      <c r="C56" t="str" cm="1">
        <f t="array" ref="C56">_xlfn.LET(
  _xlpm.text, B56,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56" t="str" cm="1">
        <f t="array" ref="D56">_xlfn.LET(
  _xlpm.text, B56,
  _xlpm.keywords, Category!$A$1:$A$100,
  _xlpm.matches, _xlfn._xlws.FILTER(_xlpm.keywords, ISNUMBER(SEARCH(_xlpm.keywords, _xlpm.text))),
  IF(COUNTA(_xlpm.matches) &gt; 0, INDEX(_xlpm.matches, 1), "")
)</f>
        <v>Dock</v>
      </c>
      <c r="G56" t="str">
        <f t="shared" si="0"/>
        <v>https://www8.hp.com/h20195/v2/GetDocument.aspx?docname=c08339701</v>
      </c>
    </row>
    <row r="57" spans="1:7" x14ac:dyDescent="0.25">
      <c r="A57" t="s">
        <v>135</v>
      </c>
      <c r="B57" t="s">
        <v>136</v>
      </c>
      <c r="C57" t="s">
        <v>20</v>
      </c>
      <c r="D57" t="s">
        <v>21</v>
      </c>
      <c r="E57" t="str" cm="1">
        <f t="array" ref="E57">_xlfn.LET(
  _xlpm.text, " " &amp; B57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57" t="str">
        <f t="shared" si="0"/>
        <v>https://www8.hp.com/h20195/v2/GetDocument.aspx?docname=c07087546</v>
      </c>
    </row>
    <row r="58" spans="1:7" x14ac:dyDescent="0.25">
      <c r="A58" t="s">
        <v>137</v>
      </c>
      <c r="B58" t="s">
        <v>138</v>
      </c>
      <c r="C58" t="str" cm="1">
        <f t="array" ref="C58">_xlfn.LET(
  _xlpm.text, B58,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58" t="s">
        <v>47</v>
      </c>
      <c r="E58" t="str" cm="1">
        <f t="array" ref="E58">_xlfn.LET(
  _xlpm.text, " " &amp; B58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8" t="str">
        <f t="shared" si="0"/>
        <v>https://www8.hp.com/h20195/v2/GetDocument.aspx?docname=c04200260</v>
      </c>
    </row>
    <row r="59" spans="1:7" x14ac:dyDescent="0.25">
      <c r="A59" t="s">
        <v>139</v>
      </c>
      <c r="B59" t="s">
        <v>140</v>
      </c>
      <c r="C59" t="str" cm="1">
        <f t="array" ref="C59">_xlfn.LET(
  _xlpm.text, B59,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9" t="str" cm="1">
        <f t="array" ref="D59">_xlfn.LET(
  _xlpm.text, B59,
  _xlpm.keywords, Category!$A$1:$A$100,
  _xlpm.matches, _xlfn._xlws.FILTER(_xlpm.keywords, ISNUMBER(SEARCH(_xlpm.keywords, _xlpm.text))),
  IF(COUNTA(_xlpm.matches) &gt; 0, INDEX(_xlpm.matches, 1), "")
)</f>
        <v>Series 5</v>
      </c>
      <c r="E59" t="str" cm="1">
        <f t="array" ref="E59">_xlfn.LET(
  _xlpm.text, " " &amp; B59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9" t="str">
        <f t="shared" si="0"/>
        <v>https://www8.hp.com/h20195/v2/GetDocument.aspx?docname=c09037963</v>
      </c>
    </row>
    <row r="60" spans="1:7" x14ac:dyDescent="0.25">
      <c r="A60" t="s">
        <v>141</v>
      </c>
      <c r="B60" t="s">
        <v>142</v>
      </c>
      <c r="C60" t="str" cm="1">
        <f t="array" ref="C60">_xlfn.LET(
  _xlpm.text, B60,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60" t="str" cm="1">
        <f t="array" ref="D60">_xlfn.LET(
  _xlpm.text, B60,
  _xlpm.keywords, Category!$A$1:$A$100,
  _xlpm.matches, _xlfn._xlws.FILTER(_xlpm.keywords, ISNUMBER(SEARCH(_xlpm.keywords, _xlpm.text))),
  IF(COUNTA(_xlpm.matches) &gt; 0, INDEX(_xlpm.matches, 1), "")
)</f>
        <v>Chromebox</v>
      </c>
      <c r="E60" t="str" cm="1">
        <f t="array" ref="E60">_xlfn.LET(
  _xlpm.text, " " &amp; B60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60" t="str">
        <f t="shared" si="0"/>
        <v>https://www8.hp.com/h20195/v2/GetDocument.aspx?docname=c08626170</v>
      </c>
    </row>
    <row r="61" spans="1:7" x14ac:dyDescent="0.25">
      <c r="A61" t="s">
        <v>143</v>
      </c>
      <c r="B61" t="s">
        <v>144</v>
      </c>
      <c r="C61" t="str" cm="1">
        <f t="array" ref="C61">_xlfn.LET(
  _xlpm.text, B61,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61" t="s">
        <v>145</v>
      </c>
      <c r="E61" t="str" cm="1">
        <f t="array" ref="E61">_xlfn.LET(
  _xlpm.text, " " &amp; B61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61" t="str">
        <f t="shared" si="0"/>
        <v>https://www8.hp.com/h20195/v2/GetDocument.aspx?docname=c07072088</v>
      </c>
    </row>
    <row r="62" spans="1:7" x14ac:dyDescent="0.25">
      <c r="A62" t="s">
        <v>146</v>
      </c>
      <c r="B62" t="s">
        <v>147</v>
      </c>
      <c r="C62" t="str" cm="1">
        <f t="array" ref="C62">_xlfn.LET(
  _xlpm.text, B62,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62" t="s">
        <v>47</v>
      </c>
      <c r="E62" t="str" cm="1">
        <f t="array" ref="E62">_xlfn.LET(
  _xlpm.text, " " &amp; B62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62" t="str">
        <f t="shared" si="0"/>
        <v>https://www8.hp.com/h20195/v2/GetDocument.aspx?docname=c06721769</v>
      </c>
    </row>
    <row r="63" spans="1:7" x14ac:dyDescent="0.25">
      <c r="A63" t="s">
        <v>148</v>
      </c>
      <c r="B63" t="s">
        <v>149</v>
      </c>
      <c r="C63" t="str" cm="1">
        <f t="array" ref="C63">_xlfn.LET(
  _xlpm.text, B63,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63" t="s">
        <v>150</v>
      </c>
      <c r="E63" t="str" cm="1">
        <f t="array" ref="E63">_xlfn.LET(
  _xlpm.text, " " &amp; B63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63" t="str">
        <f t="shared" si="0"/>
        <v>https://www8.hp.com/h20195/v2/GetDocument.aspx?docname=c07072832</v>
      </c>
    </row>
    <row r="64" spans="1:7" x14ac:dyDescent="0.25">
      <c r="A64" t="s">
        <v>151</v>
      </c>
      <c r="B64" t="s">
        <v>152</v>
      </c>
      <c r="C64" t="str" cm="1">
        <f t="array" ref="C64">_xlfn.LET(
  _xlpm.text, B64,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64" t="s">
        <v>153</v>
      </c>
      <c r="E64" t="str" cm="1">
        <f t="array" ref="E64">_xlfn.LET(
  _xlpm.text, " " &amp; B64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64" t="str">
        <f t="shared" si="0"/>
        <v>https://www8.hp.com/h20195/v2/GetDocument.aspx?docname=c09112465</v>
      </c>
    </row>
    <row r="65" spans="1:7" x14ac:dyDescent="0.25">
      <c r="A65" t="s">
        <v>154</v>
      </c>
      <c r="B65" t="s">
        <v>155</v>
      </c>
      <c r="C65" t="s">
        <v>156</v>
      </c>
      <c r="D65" t="s">
        <v>1150</v>
      </c>
      <c r="E65" t="str" cm="1">
        <f t="array" ref="E65">_xlfn.LET(
  _xlpm.text, " " &amp; B65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65" t="str">
        <f t="shared" si="0"/>
        <v>https://www8.hp.com/h20195/v2/GetDocument.aspx?docname=c04140720</v>
      </c>
    </row>
    <row r="66" spans="1:7" x14ac:dyDescent="0.25">
      <c r="A66" t="s">
        <v>157</v>
      </c>
      <c r="B66" t="s">
        <v>158</v>
      </c>
      <c r="C66" t="str" cm="1">
        <f t="array" ref="C66">_xlfn.LET(
  _xlpm.text, B66,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66" t="str" cm="1">
        <f t="array" ref="D66">_xlfn.LET(
  _xlpm.text, B66,
  _xlpm.keywords, Category!$A$1:$A$100,
  _xlpm.matches, _xlfn._xlws.FILTER(_xlpm.keywords, ISNUMBER(SEARCH(_xlpm.keywords, _xlpm.text))),
  IF(COUNTA(_xlpm.matches) &gt; 0, INDEX(_xlpm.matches, 1), "")
)</f>
        <v>ProBook</v>
      </c>
      <c r="E66" t="str" cm="1">
        <f t="array" ref="E66">_xlfn.LET(
  _xlpm.text, " " &amp; B66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66" t="str">
        <f t="shared" si="0"/>
        <v>https://www8.hp.com/h20195/v2/GetDocument.aspx?docname=c08007804</v>
      </c>
    </row>
    <row r="67" spans="1:7" x14ac:dyDescent="0.25">
      <c r="A67" t="s">
        <v>159</v>
      </c>
      <c r="B67" t="s">
        <v>160</v>
      </c>
      <c r="C67" t="str" cm="1">
        <f t="array" ref="C67">_xlfn.LET(
  _xlpm.text, B67,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67" t="str" cm="1">
        <f t="array" ref="D67">_xlfn.LET(
  _xlpm.text, B67,
  _xlpm.keywords, Category!$A$1:$A$100,
  _xlpm.matches, _xlfn._xlws.FILTER(_xlpm.keywords, ISNUMBER(SEARCH(_xlpm.keywords, _xlpm.text))),
  IF(COUNTA(_xlpm.matches) &gt; 0, INDEX(_xlpm.matches, 1), "")
)</f>
        <v>EliteDesk</v>
      </c>
      <c r="E67" t="str" cm="1">
        <f t="array" ref="E67">_xlfn.LET(
  _xlpm.text, " " &amp; B67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67" t="str">
        <f t="shared" ref="G67:G130" si="1">_xlfn.CONCAT("https://www8.hp.com/h20195/v2/GetDocument.aspx?docname=",A67)</f>
        <v>https://www8.hp.com/h20195/v2/GetDocument.aspx?docname=c06034418</v>
      </c>
    </row>
    <row r="68" spans="1:7" x14ac:dyDescent="0.25">
      <c r="A68" t="s">
        <v>161</v>
      </c>
      <c r="B68" t="s">
        <v>162</v>
      </c>
      <c r="C68" t="str" cm="1">
        <f t="array" ref="C68">_xlfn.LET(
  _xlpm.text, B68,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68" t="s">
        <v>1159</v>
      </c>
      <c r="E68" t="str" cm="1">
        <f t="array" ref="E68">_xlfn.LET(
  _xlpm.text, " " &amp; B68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68" t="str">
        <f t="shared" si="1"/>
        <v>https://www8.hp.com/h20195/v2/GetDocument.aspx?docname=c05987463</v>
      </c>
    </row>
    <row r="69" spans="1:7" x14ac:dyDescent="0.25">
      <c r="A69" t="s">
        <v>163</v>
      </c>
      <c r="B69" t="s">
        <v>164</v>
      </c>
      <c r="C69" t="str" cm="1">
        <f t="array" ref="C69">_xlfn.LET(
  _xlpm.text, B69,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69" t="str" cm="1">
        <f t="array" ref="D69">_xlfn.LET(
  _xlpm.text, B69,
  _xlpm.keywords, Category!$A$1:$A$100,
  _xlpm.matches, _xlfn._xlws.FILTER(_xlpm.keywords, ISNUMBER(SEARCH(_xlpm.keywords, _xlpm.text))),
  IF(COUNTA(_xlpm.matches) &gt; 0, INDEX(_xlpm.matches, 1), "")
)</f>
        <v>EliteBook</v>
      </c>
      <c r="E69" t="str" cm="1">
        <f t="array" ref="E69">_xlfn.LET(
  _xlpm.text, " " &amp; B69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69" t="str">
        <f t="shared" si="1"/>
        <v>https://www8.hp.com/h20195/v2/GetDocument.aspx?docname=c08487724</v>
      </c>
    </row>
    <row r="70" spans="1:7" x14ac:dyDescent="0.25">
      <c r="A70" t="s">
        <v>165</v>
      </c>
      <c r="B70" t="s">
        <v>166</v>
      </c>
      <c r="C70" t="str" cm="1">
        <f t="array" ref="C70">_xlfn.LET(
  _xlpm.text, B70,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0" t="str" cm="1">
        <f t="array" ref="D70">_xlfn.LET(
  _xlpm.text, B70,
  _xlpm.keywords, Category!$A$1:$A$100,
  _xlpm.matches, _xlfn._xlws.FILTER(_xlpm.keywords, ISNUMBER(SEARCH(_xlpm.keywords, _xlpm.text))),
  IF(COUNTA(_xlpm.matches) &gt; 0, INDEX(_xlpm.matches, 1), "")
)</f>
        <v>EliteBook</v>
      </c>
      <c r="E70" t="str" cm="1">
        <f t="array" ref="E70">_xlfn.LET(
  _xlpm.text, " " &amp; B70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70" t="str">
        <f t="shared" si="1"/>
        <v>https://www8.hp.com/h20195/v2/GetDocument.aspx?docname=c08438687</v>
      </c>
    </row>
    <row r="71" spans="1:7" x14ac:dyDescent="0.25">
      <c r="A71" t="s">
        <v>167</v>
      </c>
      <c r="B71" t="s">
        <v>168</v>
      </c>
      <c r="C71" t="str" cm="1">
        <f t="array" ref="C71">_xlfn.LET(
  _xlpm.text, B71,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1" t="str" cm="1">
        <f t="array" ref="D71">_xlfn.LET(
  _xlpm.text, B71,
  _xlpm.keywords, Category!$A$1:$A$100,
  _xlpm.matches, _xlfn._xlws.FILTER(_xlpm.keywords, ISNUMBER(SEARCH(_xlpm.keywords, _xlpm.text))),
  IF(COUNTA(_xlpm.matches) &gt; 0, INDEX(_xlpm.matches, 1), "")
)</f>
        <v>ChromeBook</v>
      </c>
      <c r="E71" t="str" cm="1">
        <f t="array" ref="E71">_xlfn.LET(
  _xlpm.text, " " &amp; B71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71" t="str">
        <f t="shared" si="1"/>
        <v>https://www8.hp.com/h20195/v2/GetDocument.aspx?docname=c08152871</v>
      </c>
    </row>
    <row r="72" spans="1:7" x14ac:dyDescent="0.25">
      <c r="A72" t="s">
        <v>169</v>
      </c>
      <c r="B72" t="s">
        <v>170</v>
      </c>
      <c r="C72" t="str" cm="1">
        <f t="array" ref="C72">_xlfn.LET(
  _xlpm.text, B72,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72" t="str" cm="1">
        <f t="array" ref="D72">_xlfn.LET(
  _xlpm.text, B72,
  _xlpm.keywords, Category!$A$1:$A$100,
  _xlpm.matches, _xlfn._xlws.FILTER(_xlpm.keywords, ISNUMBER(SEARCH(_xlpm.keywords, _xlpm.text))),
  IF(COUNTA(_xlpm.matches) &gt; 0, INDEX(_xlpm.matches, 1), "")
)</f>
        <v>ZBook</v>
      </c>
      <c r="E72" t="str" cm="1">
        <f t="array" ref="E72">_xlfn.LET(
  _xlpm.text, " " &amp; B72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72" t="str">
        <f t="shared" si="1"/>
        <v>https://www8.hp.com/h20195/v2/GetDocument.aspx?docname=c06977947</v>
      </c>
    </row>
    <row r="73" spans="1:7" x14ac:dyDescent="0.25">
      <c r="A73" t="s">
        <v>171</v>
      </c>
      <c r="B73" t="s">
        <v>172</v>
      </c>
      <c r="C73" t="str" cm="1">
        <f t="array" ref="C73">_xlfn.LET(
  _xlpm.text, B73,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3" t="str" cm="1">
        <f t="array" ref="D73">_xlfn.LET(
  _xlpm.text, B73,
  _xlpm.keywords, Category!$A$1:$A$100,
  _xlpm.matches, _xlfn._xlws.FILTER(_xlpm.keywords, ISNUMBER(SEARCH(_xlpm.keywords, _xlpm.text))),
  IF(COUNTA(_xlpm.matches) &gt; 0, INDEX(_xlpm.matches, 1), "")
)</f>
        <v>ChromeBook</v>
      </c>
      <c r="E73" t="str" cm="1">
        <f t="array" ref="E73">_xlfn.LET(
  _xlpm.text, " " &amp; B73 &amp; " ",
  _xlpm.keywords, GenList!$A$1:$A$100,
  _xlpm.paddedKeywords, " " &amp; _xlpm.keywords &amp; " ",
  _xlpm.matches, _xlfn._xlws.FILTER(_xlpm.keywords, ISNUMBER(SEARCH(_xlpm.paddedKeywords, _xlpm.text))),
  IFERROR(INDEX(_xlpm.matches, 1), "")
)</f>
        <v>G1m</v>
      </c>
      <c r="G73" t="str">
        <f t="shared" si="1"/>
        <v>https://www8.hp.com/h20195/v2/GetDocument.aspx?docname=c09073631</v>
      </c>
    </row>
    <row r="74" spans="1:7" x14ac:dyDescent="0.25">
      <c r="A74" t="s">
        <v>173</v>
      </c>
      <c r="B74" t="s">
        <v>174</v>
      </c>
      <c r="C74" t="str" cm="1">
        <f t="array" ref="C74">_xlfn.LET(
  _xlpm.text, B74,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4" t="str" cm="1">
        <f t="array" ref="D74">_xlfn.LET(
  _xlpm.text, B74,
  _xlpm.keywords, Category!$A$1:$A$100,
  _xlpm.matches, _xlfn._xlws.FILTER(_xlpm.keywords, ISNUMBER(SEARCH(_xlpm.keywords, _xlpm.text))),
  IF(COUNTA(_xlpm.matches) &gt; 0, INDEX(_xlpm.matches, 1), "")
)</f>
        <v>ChromeBook</v>
      </c>
      <c r="E74" t="str" cm="1">
        <f t="array" ref="E74">_xlfn.LET(
  _xlpm.text, " " &amp; B74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74" t="str">
        <f t="shared" si="1"/>
        <v>https://www8.hp.com/h20195/v2/GetDocument.aspx?docname=c09073637</v>
      </c>
    </row>
    <row r="75" spans="1:7" x14ac:dyDescent="0.25">
      <c r="A75" t="s">
        <v>175</v>
      </c>
      <c r="B75" t="s">
        <v>176</v>
      </c>
      <c r="C75" t="str" cm="1">
        <f t="array" ref="C75">_xlfn.LET(
  _xlpm.text, B75,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75" t="str" cm="1">
        <f t="array" ref="D75">_xlfn.LET(
  _xlpm.text, B75,
  _xlpm.keywords, Category!$A$1:$A$100,
  _xlpm.matches, _xlfn._xlws.FILTER(_xlpm.keywords, ISNUMBER(SEARCH(_xlpm.keywords, _xlpm.text))),
  IF(COUNTA(_xlpm.matches) &gt; 0, INDEX(_xlpm.matches, 1), "")
)</f>
        <v>Dock</v>
      </c>
      <c r="G75" t="str">
        <f t="shared" si="1"/>
        <v>https://www8.hp.com/h20195/v2/GetDocument.aspx?docname=c09126888</v>
      </c>
    </row>
    <row r="76" spans="1:7" x14ac:dyDescent="0.25">
      <c r="A76" t="s">
        <v>177</v>
      </c>
      <c r="B76" t="s">
        <v>178</v>
      </c>
      <c r="C76" t="str" cm="1">
        <f t="array" ref="C76">_xlfn.LET(
  _xlpm.text, B76,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6" t="str" cm="1">
        <f t="array" ref="D76">_xlfn.LET(
  _xlpm.text, B76,
  _xlpm.keywords, Category!$A$1:$A$100,
  _xlpm.matches, _xlfn._xlws.FILTER(_xlpm.keywords, ISNUMBER(SEARCH(_xlpm.keywords, _xlpm.text))),
  IF(COUNTA(_xlpm.matches) &gt; 0, INDEX(_xlpm.matches, 1), "")
)</f>
        <v>ChromeBook</v>
      </c>
      <c r="E76" t="s">
        <v>179</v>
      </c>
      <c r="G76" t="str">
        <f t="shared" si="1"/>
        <v>https://www8.hp.com/h20195/v2/GetDocument.aspx?docname=c09073638</v>
      </c>
    </row>
    <row r="77" spans="1:7" x14ac:dyDescent="0.25">
      <c r="A77" t="s">
        <v>180</v>
      </c>
      <c r="B77" t="s">
        <v>181</v>
      </c>
      <c r="C77" t="s">
        <v>41</v>
      </c>
      <c r="D77" t="s">
        <v>21</v>
      </c>
      <c r="E77" t="str" cm="1">
        <f t="array" ref="E77">_xlfn.LET(
  _xlpm.text, " " &amp; B77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77" t="str">
        <f t="shared" si="1"/>
        <v>https://www8.hp.com/h20195/v2/GetDocument.aspx?docname=c08479496</v>
      </c>
    </row>
    <row r="78" spans="1:7" x14ac:dyDescent="0.25">
      <c r="A78" t="s">
        <v>182</v>
      </c>
      <c r="B78" t="s">
        <v>183</v>
      </c>
      <c r="C78" t="str" cm="1">
        <f t="array" ref="C78">_xlfn.LET(
  _xlpm.text, B78,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78" t="str" cm="1">
        <f t="array" ref="D78">_xlfn.LET(
  _xlpm.text, B78,
  _xlpm.keywords, Category!$A$1:$A$100,
  _xlpm.matches, _xlfn._xlws.FILTER(_xlpm.keywords, ISNUMBER(SEARCH(_xlpm.keywords, _xlpm.text))),
  IF(COUNTA(_xlpm.matches) &gt; 0, INDEX(_xlpm.matches, 1), "")
)</f>
        <v>ZBook</v>
      </c>
      <c r="E78" t="str" cm="1">
        <f t="array" ref="E78">_xlfn.LET(
  _xlpm.text, " " &amp; B78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78" t="str">
        <f t="shared" si="1"/>
        <v>https://www8.hp.com/h20195/v2/GetDocument.aspx?docname=c08924023</v>
      </c>
    </row>
    <row r="79" spans="1:7" x14ac:dyDescent="0.25">
      <c r="A79" t="s">
        <v>184</v>
      </c>
      <c r="B79" t="s">
        <v>185</v>
      </c>
      <c r="C79" t="str" cm="1">
        <f t="array" ref="C79">_xlfn.LET(
  _xlpm.text, B79,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79" t="str" cm="1">
        <f t="array" ref="D79">_xlfn.LET(
  _xlpm.text, B79,
  _xlpm.keywords, Category!$A$1:$A$100,
  _xlpm.matches, _xlfn._xlws.FILTER(_xlpm.keywords, ISNUMBER(SEARCH(_xlpm.keywords, _xlpm.text))),
  IF(COUNTA(_xlpm.matches) &gt; 0, INDEX(_xlpm.matches, 1), "")
)</f>
        <v>Dragonfly</v>
      </c>
      <c r="G79" t="str">
        <f t="shared" si="1"/>
        <v>https://www8.hp.com/h20195/v2/GetDocument.aspx?docname=c08480176</v>
      </c>
    </row>
    <row r="80" spans="1:7" x14ac:dyDescent="0.25">
      <c r="A80" t="s">
        <v>186</v>
      </c>
      <c r="B80" t="s">
        <v>187</v>
      </c>
      <c r="C80" t="str" cm="1">
        <f t="array" ref="C80">_xlfn.LET(
  _xlpm.text, B80,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80" t="str" cm="1">
        <f t="array" ref="D80">_xlfn.LET(
  _xlpm.text, B80,
  _xlpm.keywords, Category!$A$1:$A$100,
  _xlpm.matches, _xlfn._xlws.FILTER(_xlpm.keywords, ISNUMBER(SEARCH(_xlpm.keywords, _xlpm.text))),
  IF(COUNTA(_xlpm.matches) &gt; 0, INDEX(_xlpm.matches, 1), "")
)</f>
        <v>Engage</v>
      </c>
      <c r="E80" t="str" cm="1">
        <f t="array" ref="E80">_xlfn.LET(
  _xlpm.text, " " &amp; B80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80" t="str">
        <f t="shared" si="1"/>
        <v>https://www8.hp.com/h20195/v2/GetDocument.aspx?docname=c07538156</v>
      </c>
    </row>
    <row r="81" spans="1:7" x14ac:dyDescent="0.25">
      <c r="A81" t="s">
        <v>188</v>
      </c>
      <c r="B81" t="s">
        <v>189</v>
      </c>
      <c r="C81" t="str" cm="1">
        <f t="array" ref="C81">_xlfn.LET(
  _xlpm.text, B81,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81" t="s">
        <v>78</v>
      </c>
      <c r="G81" t="str">
        <f t="shared" si="1"/>
        <v>https://www8.hp.com/h20195/v2/GetDocument.aspx?docname=c09091538</v>
      </c>
    </row>
    <row r="82" spans="1:7" x14ac:dyDescent="0.25">
      <c r="A82" t="s">
        <v>190</v>
      </c>
      <c r="B82" t="s">
        <v>191</v>
      </c>
      <c r="C82" t="str" cm="1">
        <f t="array" ref="C82">_xlfn.LET(
  _xlpm.text, B82,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82" t="s">
        <v>21</v>
      </c>
      <c r="E82" t="str" cm="1">
        <f t="array" ref="E82">_xlfn.LET(
  _xlpm.text, " " &amp; B82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82" t="str">
        <f t="shared" si="1"/>
        <v>https://www8.hp.com/h20195/v2/GetDocument.aspx?docname=c08677229</v>
      </c>
    </row>
    <row r="83" spans="1:7" x14ac:dyDescent="0.25">
      <c r="A83" t="s">
        <v>192</v>
      </c>
      <c r="B83" t="s">
        <v>193</v>
      </c>
      <c r="C83" t="str" cm="1">
        <f t="array" ref="C83">_xlfn.LET(
  _xlpm.text, B83,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83" t="str" cm="1">
        <f t="array" ref="D83">_xlfn.LET(
  _xlpm.text, B83,
  _xlpm.keywords, Category!$A$1:$A$100,
  _xlpm.matches, _xlfn._xlws.FILTER(_xlpm.keywords, ISNUMBER(SEARCH(_xlpm.keywords, _xlpm.text))),
  IF(COUNTA(_xlpm.matches) &gt; 0, INDEX(_xlpm.matches, 1), "")
)</f>
        <v>Series 7</v>
      </c>
      <c r="E83" t="str" cm="1">
        <f t="array" ref="E83">_xlfn.LET(
  _xlpm.text, " " &amp; B83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83" t="str">
        <f t="shared" si="1"/>
        <v>https://www8.hp.com/h20195/v2/GetDocument.aspx?docname=c08893149</v>
      </c>
    </row>
    <row r="84" spans="1:7" x14ac:dyDescent="0.25">
      <c r="A84" t="s">
        <v>194</v>
      </c>
      <c r="B84" t="s">
        <v>195</v>
      </c>
      <c r="C84" t="str" cm="1">
        <f t="array" ref="C84">_xlfn.LET(
  _xlpm.text, B84,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84" t="str" cm="1">
        <f t="array" ref="D84">_xlfn.LET(
  _xlpm.text, B84,
  _xlpm.keywords, Category!$A$1:$A$100,
  _xlpm.matches, _xlfn._xlws.FILTER(_xlpm.keywords, ISNUMBER(SEARCH(_xlpm.keywords, _xlpm.text))),
  IF(COUNTA(_xlpm.matches) &gt; 0, INDEX(_xlpm.matches, 1), "")
)</f>
        <v>Series 7</v>
      </c>
      <c r="E84" t="str" cm="1">
        <f t="array" ref="E84">_xlfn.LET(
  _xlpm.text, " " &amp; B84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84" t="str">
        <f t="shared" si="1"/>
        <v>https://www8.hp.com/h20195/v2/GetDocument.aspx?docname=c08820877</v>
      </c>
    </row>
    <row r="85" spans="1:7" x14ac:dyDescent="0.25">
      <c r="A85" t="s">
        <v>196</v>
      </c>
      <c r="B85" t="s">
        <v>197</v>
      </c>
      <c r="C85" t="s">
        <v>41</v>
      </c>
      <c r="D85" t="s">
        <v>21</v>
      </c>
      <c r="E85" t="str" cm="1">
        <f t="array" ref="E85">_xlfn.LET(
  _xlpm.text, " " &amp; B85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85" t="str">
        <f t="shared" si="1"/>
        <v>https://www8.hp.com/h20195/v2/GetDocument.aspx?docname=c08479495</v>
      </c>
    </row>
    <row r="86" spans="1:7" x14ac:dyDescent="0.25">
      <c r="A86" t="s">
        <v>198</v>
      </c>
      <c r="B86" t="s">
        <v>199</v>
      </c>
      <c r="C86" t="s">
        <v>88</v>
      </c>
      <c r="D86" t="s">
        <v>1158</v>
      </c>
      <c r="E86" t="str" cm="1">
        <f t="array" ref="E86">_xlfn.LET(
  _xlpm.text, " " &amp; B86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86" t="str">
        <f t="shared" si="1"/>
        <v>https://www8.hp.com/h20195/v2/GetDocument.aspx?docname=c09119722</v>
      </c>
    </row>
    <row r="87" spans="1:7" x14ac:dyDescent="0.25">
      <c r="A87" t="s">
        <v>200</v>
      </c>
      <c r="B87" t="s">
        <v>201</v>
      </c>
      <c r="C87" t="str" cm="1">
        <f t="array" ref="C87">_xlfn.LET(
  _xlpm.text, B87,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87" t="s">
        <v>1159</v>
      </c>
      <c r="E87" t="str" cm="1">
        <f t="array" ref="E87">_xlfn.LET(
  _xlpm.text, " " &amp; B87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87" t="str">
        <f t="shared" si="1"/>
        <v>https://www8.hp.com/h20195/v2/GetDocument.aspx?docname=c08482306</v>
      </c>
    </row>
    <row r="88" spans="1:7" x14ac:dyDescent="0.25">
      <c r="A88" t="s">
        <v>202</v>
      </c>
      <c r="B88" t="s">
        <v>203</v>
      </c>
      <c r="C88" t="s">
        <v>41</v>
      </c>
      <c r="D88" t="s">
        <v>21</v>
      </c>
      <c r="E88" t="str" cm="1">
        <f t="array" ref="E88">_xlfn.LET(
  _xlpm.text, " " &amp; B88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88" t="str">
        <f t="shared" si="1"/>
        <v>https://www8.hp.com/h20195/v2/GetDocument.aspx?docname=c08894835</v>
      </c>
    </row>
    <row r="89" spans="1:7" x14ac:dyDescent="0.25">
      <c r="A89" t="s">
        <v>204</v>
      </c>
      <c r="B89" t="s">
        <v>205</v>
      </c>
      <c r="C89" t="str" cm="1">
        <f t="array" ref="C89">_xlfn.LET(
  _xlpm.text, B89,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89" t="str" cm="1">
        <f t="array" ref="D89">_xlfn.LET(
  _xlpm.text, B89,
  _xlpm.keywords, Category!$A$1:$A$100,
  _xlpm.matches, _xlfn._xlws.FILTER(_xlpm.keywords, ISNUMBER(SEARCH(_xlpm.keywords, _xlpm.text))),
  IF(COUNTA(_xlpm.matches) &gt; 0, INDEX(_xlpm.matches, 1), "")
)</f>
        <v>ProBook</v>
      </c>
      <c r="E89" t="str" cm="1">
        <f t="array" ref="E89">_xlfn.LET(
  _xlpm.text, " " &amp; B89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89" t="str">
        <f t="shared" si="1"/>
        <v>https://www8.hp.com/h20195/v2/GetDocument.aspx?docname=c07856867</v>
      </c>
    </row>
    <row r="90" spans="1:7" x14ac:dyDescent="0.25">
      <c r="A90" t="s">
        <v>206</v>
      </c>
      <c r="B90" t="s">
        <v>207</v>
      </c>
      <c r="C90" t="s">
        <v>41</v>
      </c>
      <c r="D90" t="s">
        <v>47</v>
      </c>
      <c r="E90" t="str" cm="1">
        <f t="array" ref="E90">_xlfn.LET(
  _xlpm.text, " " &amp; B90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90" t="str">
        <f t="shared" si="1"/>
        <v>https://www8.hp.com/h20195/v2/GetDocument.aspx?docname=c06208780</v>
      </c>
    </row>
    <row r="91" spans="1:7" x14ac:dyDescent="0.25">
      <c r="A91" t="s">
        <v>208</v>
      </c>
      <c r="B91" t="s">
        <v>209</v>
      </c>
      <c r="C91" t="str" cm="1">
        <f t="array" ref="C91">_xlfn.LET(
  _xlpm.text, B91,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91" t="s">
        <v>145</v>
      </c>
      <c r="E91" t="str" cm="1">
        <f t="array" ref="E91">_xlfn.LET(
  _xlpm.text, " " &amp; B91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91" t="str">
        <f t="shared" si="1"/>
        <v>https://www8.hp.com/h20195/v2/GetDocument.aspx?docname=c05693477</v>
      </c>
    </row>
    <row r="92" spans="1:7" x14ac:dyDescent="0.25">
      <c r="A92" t="s">
        <v>210</v>
      </c>
      <c r="B92" t="s">
        <v>211</v>
      </c>
      <c r="C92" t="str" cm="1">
        <f t="array" ref="C92">_xlfn.LET(
  _xlpm.text, B92,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92" t="str" cm="1">
        <f t="array" ref="D92">_xlfn.LET(
  _xlpm.text, B92,
  _xlpm.keywords, Category!$A$1:$A$100,
  _xlpm.matches, _xlfn._xlws.FILTER(_xlpm.keywords, ISNUMBER(SEARCH(_xlpm.keywords, _xlpm.text))),
  IF(COUNTA(_xlpm.matches) &gt; 0, INDEX(_xlpm.matches, 1), "")
)</f>
        <v>EliteBook</v>
      </c>
      <c r="E92" t="str" cm="1">
        <f t="array" ref="E92">_xlfn.LET(
  _xlpm.text, " " &amp; B92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92" t="str">
        <f t="shared" si="1"/>
        <v>https://www8.hp.com/h20195/v2/GetDocument.aspx?docname=c08487721</v>
      </c>
    </row>
    <row r="93" spans="1:7" x14ac:dyDescent="0.25">
      <c r="A93" t="s">
        <v>212</v>
      </c>
      <c r="B93" t="s">
        <v>213</v>
      </c>
      <c r="C93" t="str" cm="1">
        <f t="array" ref="C93">_xlfn.LET(
  _xlpm.text, B93,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93" t="str" cm="1">
        <f t="array" ref="D93">_xlfn.LET(
  _xlpm.text, B93,
  _xlpm.keywords, Category!$A$1:$A$100,
  _xlpm.matches, _xlfn._xlws.FILTER(_xlpm.keywords, ISNUMBER(SEARCH(_xlpm.keywords, _xlpm.text))),
  IF(COUNTA(_xlpm.matches) &gt; 0, INDEX(_xlpm.matches, 1), "")
)</f>
        <v>Series 5</v>
      </c>
      <c r="E93" t="str" cm="1">
        <f t="array" ref="E93">_xlfn.LET(
  _xlpm.text, " " &amp; B93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93" t="str">
        <f t="shared" si="1"/>
        <v>https://www8.hp.com/h20195/v2/GetDocument.aspx?docname=c09053142</v>
      </c>
    </row>
    <row r="94" spans="1:7" x14ac:dyDescent="0.25">
      <c r="A94" t="s">
        <v>214</v>
      </c>
      <c r="B94" t="s">
        <v>215</v>
      </c>
      <c r="C94" t="s">
        <v>20</v>
      </c>
      <c r="D94" t="s">
        <v>47</v>
      </c>
      <c r="E94" t="str" cm="1">
        <f t="array" ref="E94">_xlfn.LET(
  _xlpm.text, " " &amp; B94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94" t="str">
        <f t="shared" si="1"/>
        <v>https://www8.hp.com/h20195/v2/GetDocument.aspx?docname=c08060889</v>
      </c>
    </row>
    <row r="95" spans="1:7" x14ac:dyDescent="0.25">
      <c r="A95" t="s">
        <v>216</v>
      </c>
      <c r="B95" t="s">
        <v>217</v>
      </c>
      <c r="C95" t="str" cm="1">
        <f t="array" ref="C95">_xlfn.LET(
  _xlpm.text, B95,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95" t="str" cm="1">
        <f t="array" ref="D95">_xlfn.LET(
  _xlpm.text, B95,
  _xlpm.keywords, Category!$A$1:$A$100,
  _xlpm.matches, _xlfn._xlws.FILTER(_xlpm.keywords, ISNUMBER(SEARCH(_xlpm.keywords, _xlpm.text))),
  IF(COUNTA(_xlpm.matches) &gt; 0, INDEX(_xlpm.matches, 1), "")
)</f>
        <v>ZBook</v>
      </c>
      <c r="E95" t="str" cm="1">
        <f t="array" ref="E95">_xlfn.LET(
  _xlpm.text, " " &amp; B95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95" t="str">
        <f t="shared" si="1"/>
        <v>https://www8.hp.com/h20195/v2/GetDocument.aspx?docname=c08580127</v>
      </c>
    </row>
    <row r="96" spans="1:7" x14ac:dyDescent="0.25">
      <c r="A96" t="s">
        <v>218</v>
      </c>
      <c r="B96" t="s">
        <v>219</v>
      </c>
      <c r="C96" t="str" cm="1">
        <f t="array" ref="C96">_xlfn.LET(
  _xlpm.text, B96,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96" t="s">
        <v>1159</v>
      </c>
      <c r="E96" t="str" cm="1">
        <f t="array" ref="E96">_xlfn.LET(
  _xlpm.text, " " &amp; B96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96" t="str">
        <f t="shared" si="1"/>
        <v>https://www8.hp.com/h20195/v2/GetDocument.aspx?docname=c08481500</v>
      </c>
    </row>
    <row r="97" spans="1:7" x14ac:dyDescent="0.25">
      <c r="A97" t="s">
        <v>220</v>
      </c>
      <c r="B97" t="s">
        <v>221</v>
      </c>
      <c r="C97" t="str" cm="1">
        <f t="array" ref="C97">_xlfn.LET(
  _xlpm.text, B97,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97" t="s">
        <v>85</v>
      </c>
      <c r="E97" t="str" cm="1">
        <f t="array" ref="E97">_xlfn.LET(
  _xlpm.text, " " &amp; B97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97" t="str">
        <f t="shared" si="1"/>
        <v>https://www8.hp.com/h20195/v2/GetDocument.aspx?docname=c07718767</v>
      </c>
    </row>
    <row r="98" spans="1:7" x14ac:dyDescent="0.25">
      <c r="A98" t="s">
        <v>222</v>
      </c>
      <c r="B98" t="s">
        <v>223</v>
      </c>
      <c r="C98" t="s">
        <v>41</v>
      </c>
      <c r="D98" t="s">
        <v>224</v>
      </c>
      <c r="E98" t="str" cm="1">
        <f t="array" ref="E98">_xlfn.LET(
  _xlpm.text, " " &amp; B98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98" t="str">
        <f t="shared" si="1"/>
        <v>https://www8.hp.com/h20195/v2/GetDocument.aspx?docname=c08487725</v>
      </c>
    </row>
    <row r="99" spans="1:7" x14ac:dyDescent="0.25">
      <c r="A99" t="s">
        <v>225</v>
      </c>
      <c r="B99" t="s">
        <v>226</v>
      </c>
      <c r="C99" t="str" cm="1">
        <f t="array" ref="C99">_xlfn.LET(
  _xlpm.text, B99,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99" t="str" cm="1">
        <f t="array" ref="D99">_xlfn.LET(
  _xlpm.text, B99,
  _xlpm.keywords, Category!$A$1:$A$100,
  _xlpm.matches, _xlfn._xlws.FILTER(_xlpm.keywords, ISNUMBER(SEARCH(_xlpm.keywords, _xlpm.text))),
  IF(COUNTA(_xlpm.matches) &gt; 0, INDEX(_xlpm.matches, 1), "")
)</f>
        <v>ProBook</v>
      </c>
      <c r="E99" t="str" cm="1">
        <f t="array" ref="E99">_xlfn.LET(
  _xlpm.text, " " &amp; B99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99" t="str">
        <f t="shared" si="1"/>
        <v>https://www8.hp.com/h20195/v2/GetDocument.aspx?docname=c07949015</v>
      </c>
    </row>
    <row r="100" spans="1:7" x14ac:dyDescent="0.25">
      <c r="A100" t="s">
        <v>227</v>
      </c>
      <c r="B100" t="s">
        <v>228</v>
      </c>
      <c r="C100" t="s">
        <v>20</v>
      </c>
      <c r="D100" t="s">
        <v>21</v>
      </c>
      <c r="E100" t="str" cm="1">
        <f t="array" ref="E100">_xlfn.LET(
  _xlpm.text, " " &amp; B100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100" t="str">
        <f t="shared" si="1"/>
        <v>https://www8.hp.com/h20195/v2/GetDocument.aspx?docname=c07020712</v>
      </c>
    </row>
    <row r="101" spans="1:7" x14ac:dyDescent="0.25">
      <c r="A101" t="s">
        <v>229</v>
      </c>
      <c r="B101" t="s">
        <v>230</v>
      </c>
      <c r="C101" t="str" cm="1">
        <f t="array" ref="C101">_xlfn.LET(
  _xlpm.text, B101,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01" t="s">
        <v>21</v>
      </c>
      <c r="E101" t="str" cm="1">
        <f t="array" ref="E101">_xlfn.LET(
  _xlpm.text, " " &amp; B101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01" t="str">
        <f t="shared" si="1"/>
        <v>https://www8.hp.com/h20195/v2/GetDocument.aspx?docname=c08677226</v>
      </c>
    </row>
    <row r="102" spans="1:7" x14ac:dyDescent="0.25">
      <c r="A102" t="s">
        <v>231</v>
      </c>
      <c r="B102" t="s">
        <v>232</v>
      </c>
      <c r="C102" t="str" cm="1">
        <f t="array" ref="C102">_xlfn.LET(
  _xlpm.text, B102,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02" t="str" cm="1">
        <f t="array" ref="D102">_xlfn.LET(
  _xlpm.text, B102,
  _xlpm.keywords, Category!$A$1:$A$100,
  _xlpm.matches, _xlfn._xlws.FILTER(_xlpm.keywords, ISNUMBER(SEARCH(_xlpm.keywords, _xlpm.text))),
  IF(COUNTA(_xlpm.matches) &gt; 0, INDEX(_xlpm.matches, 1), "")
)</f>
        <v>Series 5</v>
      </c>
      <c r="E102" t="str" cm="1">
        <f t="array" ref="E102">_xlfn.LET(
  _xlpm.text, " " &amp; B102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02" t="str">
        <f t="shared" si="1"/>
        <v>https://www8.hp.com/h20195/v2/GetDocument.aspx?docname=c09003644</v>
      </c>
    </row>
    <row r="103" spans="1:7" x14ac:dyDescent="0.25">
      <c r="A103" t="s">
        <v>233</v>
      </c>
      <c r="B103" t="s">
        <v>234</v>
      </c>
      <c r="C103" t="str" cm="1">
        <f t="array" ref="C103">_xlfn.LET(
  _xlpm.text, B103,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03" t="s">
        <v>75</v>
      </c>
      <c r="E103" t="str" cm="1">
        <f t="array" ref="E103">_xlfn.LET(
  _xlpm.text, " " &amp; B103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03" t="str">
        <f t="shared" si="1"/>
        <v>https://www8.hp.com/h20195/v2/GetDocument.aspx?docname=c06973545</v>
      </c>
    </row>
    <row r="104" spans="1:7" x14ac:dyDescent="0.25">
      <c r="A104" t="s">
        <v>235</v>
      </c>
      <c r="B104" t="s">
        <v>236</v>
      </c>
      <c r="C104" t="str" cm="1">
        <f t="array" ref="C104">_xlfn.LET(
  _xlpm.text, B104,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04" t="str" cm="1">
        <f t="array" ref="D104">_xlfn.LET(
  _xlpm.text, B104,
  _xlpm.keywords, Category!$A$1:$A$100,
  _xlpm.matches, _xlfn._xlws.FILTER(_xlpm.keywords, ISNUMBER(SEARCH(_xlpm.keywords, _xlpm.text))),
  IF(COUNTA(_xlpm.matches) &gt; 0, INDEX(_xlpm.matches, 1), "")
)</f>
        <v>ProBook</v>
      </c>
      <c r="E104" t="str" cm="1">
        <f t="array" ref="E104">_xlfn.LET(
  _xlpm.text, " " &amp; B104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04" t="str">
        <f t="shared" si="1"/>
        <v>https://www8.hp.com/h20195/v2/GetDocument.aspx?docname=c08480164</v>
      </c>
    </row>
    <row r="105" spans="1:7" x14ac:dyDescent="0.25">
      <c r="A105" t="s">
        <v>237</v>
      </c>
      <c r="B105" t="s">
        <v>238</v>
      </c>
      <c r="C105" t="str" cm="1">
        <f t="array" ref="C105">_xlfn.LET(
  _xlpm.text, B105,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05" t="str" cm="1">
        <f t="array" ref="D105">_xlfn.LET(
  _xlpm.text, B105,
  _xlpm.keywords, Category!$A$1:$A$100,
  _xlpm.matches, _xlfn._xlws.FILTER(_xlpm.keywords, ISNUMBER(SEARCH(_xlpm.keywords, _xlpm.text))),
  IF(COUNTA(_xlpm.matches) &gt; 0, INDEX(_xlpm.matches, 1), "")
)</f>
        <v>ZBook</v>
      </c>
      <c r="E105" t="str" cm="1">
        <f t="array" ref="E105">_xlfn.LET(
  _xlpm.text, " " &amp; B105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05" t="str">
        <f t="shared" si="1"/>
        <v>https://www8.hp.com/h20195/v2/GetDocument.aspx?docname=c08918347</v>
      </c>
    </row>
    <row r="106" spans="1:7" x14ac:dyDescent="0.25">
      <c r="A106" t="s">
        <v>239</v>
      </c>
      <c r="B106" t="s">
        <v>240</v>
      </c>
      <c r="C106" t="str" cm="1">
        <f t="array" ref="C106">_xlfn.LET(
  _xlpm.text, B106,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06" t="s">
        <v>1157</v>
      </c>
      <c r="E106" t="str" cm="1">
        <f t="array" ref="E106">_xlfn.LET(
  _xlpm.text, " " &amp; B106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06" t="str">
        <f t="shared" si="1"/>
        <v>https://www8.hp.com/h20195/v2/GetDocument.aspx?docname=c08148300</v>
      </c>
    </row>
    <row r="107" spans="1:7" x14ac:dyDescent="0.25">
      <c r="A107" t="s">
        <v>241</v>
      </c>
      <c r="B107" t="s">
        <v>242</v>
      </c>
      <c r="C107" t="str" cm="1">
        <f t="array" ref="C107">_xlfn.LET(
  _xlpm.text, B107,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07" t="str" cm="1">
        <f t="array" ref="D107">_xlfn.LET(
  _xlpm.text, B107,
  _xlpm.keywords, Category!$A$1:$A$100,
  _xlpm.matches, _xlfn._xlws.FILTER(_xlpm.keywords, ISNUMBER(SEARCH(_xlpm.keywords, _xlpm.text))),
  IF(COUNTA(_xlpm.matches) &gt; 0, INDEX(_xlpm.matches, 1), "")
)</f>
        <v>ZBook</v>
      </c>
      <c r="E107" t="str" cm="1">
        <f t="array" ref="E107">_xlfn.LET(
  _xlpm.text, " " &amp; B107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07" t="str">
        <f t="shared" si="1"/>
        <v>https://www8.hp.com/h20195/v2/GetDocument.aspx?docname=c08993016</v>
      </c>
    </row>
    <row r="108" spans="1:7" x14ac:dyDescent="0.25">
      <c r="A108" t="s">
        <v>243</v>
      </c>
      <c r="B108" t="s">
        <v>244</v>
      </c>
      <c r="C108" t="str" cm="1">
        <f t="array" ref="C108">_xlfn.LET(
  _xlpm.text, B108,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108" t="s">
        <v>245</v>
      </c>
      <c r="E108" t="str" cm="1">
        <f t="array" ref="E108">_xlfn.LET(
  _xlpm.text, " " &amp; B108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108" t="str">
        <f t="shared" si="1"/>
        <v>https://www8.hp.com/h20195/v2/GetDocument.aspx?docname=c09146964</v>
      </c>
    </row>
    <row r="109" spans="1:7" x14ac:dyDescent="0.25">
      <c r="A109" t="s">
        <v>246</v>
      </c>
      <c r="B109" t="s">
        <v>247</v>
      </c>
      <c r="C109" t="s">
        <v>248</v>
      </c>
      <c r="D109" t="s">
        <v>245</v>
      </c>
      <c r="E109" t="str" cm="1">
        <f t="array" ref="E109">_xlfn.LET(
  _xlpm.text, " " &amp; B109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109" t="str">
        <f t="shared" si="1"/>
        <v>https://www8.hp.com/h20195/v2/GetDocument.aspx?docname=c09146965</v>
      </c>
    </row>
    <row r="110" spans="1:7" x14ac:dyDescent="0.25">
      <c r="A110" t="s">
        <v>249</v>
      </c>
      <c r="B110" t="s">
        <v>250</v>
      </c>
      <c r="C110" t="s">
        <v>20</v>
      </c>
      <c r="D110" t="s">
        <v>89</v>
      </c>
      <c r="E110" t="str" cm="1">
        <f t="array" ref="E110">_xlfn.LET(
  _xlpm.text, " " &amp; B110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10" t="str">
        <f t="shared" si="1"/>
        <v>https://www8.hp.com/h20195/v2/GetDocument.aspx?docname=c09085195</v>
      </c>
    </row>
    <row r="111" spans="1:7" x14ac:dyDescent="0.25">
      <c r="A111" t="s">
        <v>251</v>
      </c>
      <c r="B111" t="s">
        <v>252</v>
      </c>
      <c r="C111" t="str" cm="1">
        <f t="array" ref="C111">_xlfn.LET(
  _xlpm.text, B111,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11" t="str" cm="1">
        <f t="array" ref="D111">_xlfn.LET(
  _xlpm.text, B111,
  _xlpm.keywords, Category!$A$1:$A$100,
  _xlpm.matches, _xlfn._xlws.FILTER(_xlpm.keywords, ISNUMBER(SEARCH(_xlpm.keywords, _xlpm.text))),
  IF(COUNTA(_xlpm.matches) &gt; 0, INDEX(_xlpm.matches, 1), "")
)</f>
        <v>ProDesk</v>
      </c>
      <c r="E111" t="str" cm="1">
        <f t="array" ref="E111">_xlfn.LET(
  _xlpm.text, " " &amp; B111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11" t="str">
        <f t="shared" si="1"/>
        <v>https://www8.hp.com/h20195/v2/GetDocument.aspx?docname=c09085194</v>
      </c>
    </row>
    <row r="112" spans="1:7" x14ac:dyDescent="0.25">
      <c r="A112" t="s">
        <v>253</v>
      </c>
      <c r="B112" t="s">
        <v>254</v>
      </c>
      <c r="C112" t="str" cm="1">
        <f t="array" ref="C112">_xlfn.LET(
  _xlpm.text, B112,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12" t="str" cm="1">
        <f t="array" ref="D112">_xlfn.LET(
  _xlpm.text, B112,
  _xlpm.keywords, Category!$A$1:$A$100,
  _xlpm.matches, _xlfn._xlws.FILTER(_xlpm.keywords, ISNUMBER(SEARCH(_xlpm.keywords, _xlpm.text))),
  IF(COUNTA(_xlpm.matches) &gt; 0, INDEX(_xlpm.matches, 1), "")
)</f>
        <v>ProDesk</v>
      </c>
      <c r="E112" t="str" cm="1">
        <f t="array" ref="E112">_xlfn.LET(
  _xlpm.text, " " &amp; B112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12" t="str">
        <f t="shared" si="1"/>
        <v>https://www8.hp.com/h20195/v2/GetDocument.aspx?docname=c09083467</v>
      </c>
    </row>
    <row r="113" spans="1:7" x14ac:dyDescent="0.25">
      <c r="A113" t="s">
        <v>255</v>
      </c>
      <c r="B113" t="s">
        <v>256</v>
      </c>
      <c r="C113" t="str" cm="1">
        <f t="array" ref="C113">_xlfn.LET(
  _xlpm.text, B113,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13" t="str" cm="1">
        <f t="array" ref="D113">_xlfn.LET(
  _xlpm.text, B113,
  _xlpm.keywords, Category!$A$1:$A$100,
  _xlpm.matches, _xlfn._xlws.FILTER(_xlpm.keywords, ISNUMBER(SEARCH(_xlpm.keywords, _xlpm.text))),
  IF(COUNTA(_xlpm.matches) &gt; 0, INDEX(_xlpm.matches, 1), "")
)</f>
        <v>ProDesk</v>
      </c>
      <c r="E113" t="str" cm="1">
        <f t="array" ref="E113">_xlfn.LET(
  _xlpm.text, " " &amp; B113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13" t="str">
        <f t="shared" si="1"/>
        <v>https://www8.hp.com/h20195/v2/GetDocument.aspx?docname=c09085103</v>
      </c>
    </row>
    <row r="114" spans="1:7" x14ac:dyDescent="0.25">
      <c r="A114" t="s">
        <v>257</v>
      </c>
      <c r="B114" t="s">
        <v>258</v>
      </c>
      <c r="C114" t="str" cm="1">
        <f t="array" ref="C114">_xlfn.LET(
  _xlpm.text, B114,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114" t="str" cm="1">
        <f t="array" ref="D114">_xlfn.LET(
  _xlpm.text, B114,
  _xlpm.keywords, Category!$A$1:$A$100,
  _xlpm.matches, _xlfn._xlws.FILTER(_xlpm.keywords, ISNUMBER(SEARCH(_xlpm.keywords, _xlpm.text))),
  IF(COUNTA(_xlpm.matches) &gt; 0, INDEX(_xlpm.matches, 1), "")
)</f>
        <v>Dock</v>
      </c>
      <c r="E114" t="str" cm="1">
        <f t="array" ref="E114">_xlfn.LET(
  _xlpm.text, " " &amp; B114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14" t="str">
        <f t="shared" si="1"/>
        <v>https://www8.hp.com/h20195/v2/GetDocument.aspx?docname=c04168358</v>
      </c>
    </row>
    <row r="115" spans="1:7" x14ac:dyDescent="0.25">
      <c r="A115" t="s">
        <v>259</v>
      </c>
      <c r="B115" t="s">
        <v>260</v>
      </c>
      <c r="C115" t="str" cm="1">
        <f t="array" ref="C115">_xlfn.LET(
  _xlpm.text, B115,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15" t="str" cm="1">
        <f t="array" ref="D115">_xlfn.LET(
  _xlpm.text, B115,
  _xlpm.keywords, Category!$A$1:$A$100,
  _xlpm.matches, _xlfn._xlws.FILTER(_xlpm.keywords, ISNUMBER(SEARCH(_xlpm.keywords, _xlpm.text))),
  IF(COUNTA(_xlpm.matches) &gt; 0, INDEX(_xlpm.matches, 1), "")
)</f>
        <v>EliteBook</v>
      </c>
      <c r="E115" t="str" cm="1">
        <f t="array" ref="E115">_xlfn.LET(
  _xlpm.text, " " &amp; B115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15" t="str">
        <f t="shared" si="1"/>
        <v>https://www8.hp.com/h20195/v2/GetDocument.aspx?docname=c08049273</v>
      </c>
    </row>
    <row r="116" spans="1:7" x14ac:dyDescent="0.25">
      <c r="A116" t="s">
        <v>261</v>
      </c>
      <c r="B116" t="s">
        <v>262</v>
      </c>
      <c r="C116" t="s">
        <v>20</v>
      </c>
      <c r="D116" t="s">
        <v>21</v>
      </c>
      <c r="E116" t="str" cm="1">
        <f t="array" ref="E116">_xlfn.LET(
  _xlpm.text, " " &amp; B116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116" t="str">
        <f t="shared" si="1"/>
        <v>https://www8.hp.com/h20195/v2/GetDocument.aspx?docname=c07722440</v>
      </c>
    </row>
    <row r="117" spans="1:7" x14ac:dyDescent="0.25">
      <c r="A117" t="s">
        <v>263</v>
      </c>
      <c r="B117" t="s">
        <v>264</v>
      </c>
      <c r="C117" t="str" cm="1">
        <f t="array" ref="C117">_xlfn.LET(
  _xlpm.text, B117,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17" t="s">
        <v>85</v>
      </c>
      <c r="E117" t="str" cm="1">
        <f t="array" ref="E117">_xlfn.LET(
  _xlpm.text, " " &amp; B117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17" t="str">
        <f t="shared" si="1"/>
        <v>https://www8.hp.com/h20195/v2/GetDocument.aspx?docname=c06922720</v>
      </c>
    </row>
    <row r="118" spans="1:7" x14ac:dyDescent="0.25">
      <c r="A118" t="s">
        <v>265</v>
      </c>
      <c r="B118" t="s">
        <v>266</v>
      </c>
      <c r="C118" t="s">
        <v>41</v>
      </c>
      <c r="D118" t="s">
        <v>47</v>
      </c>
      <c r="E118" t="str" cm="1">
        <f t="array" ref="E118">_xlfn.LET(
  _xlpm.text, " " &amp; B118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18" t="str">
        <f t="shared" si="1"/>
        <v>https://www8.hp.com/h20195/v2/GetDocument.aspx?docname=c04349129</v>
      </c>
    </row>
    <row r="119" spans="1:7" x14ac:dyDescent="0.25">
      <c r="A119" t="s">
        <v>267</v>
      </c>
      <c r="B119" t="s">
        <v>268</v>
      </c>
      <c r="C119" t="str" cm="1">
        <f t="array" ref="C119">_xlfn.LET(
  _xlpm.text, B119,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19" t="str" cm="1">
        <f t="array" ref="D119">_xlfn.LET(
  _xlpm.text, B119,
  _xlpm.keywords, Category!$A$1:$A$100,
  _xlpm.matches, _xlfn._xlws.FILTER(_xlpm.keywords, ISNUMBER(SEARCH(_xlpm.keywords, _xlpm.text))),
  IF(COUNTA(_xlpm.matches) &gt; 0, INDEX(_xlpm.matches, 1), "")
)</f>
        <v>ProOne</v>
      </c>
      <c r="E119" t="str" cm="1">
        <f t="array" ref="E119">_xlfn.LET(
  _xlpm.text, " " &amp; B119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19" t="str">
        <f t="shared" si="1"/>
        <v>https://www8.hp.com/h20195/v2/GetDocument.aspx?docname=c08202580</v>
      </c>
    </row>
    <row r="120" spans="1:7" x14ac:dyDescent="0.25">
      <c r="A120" t="s">
        <v>269</v>
      </c>
      <c r="B120" t="s">
        <v>270</v>
      </c>
      <c r="C120" t="str" cm="1">
        <f t="array" ref="C120">_xlfn.LET(
  _xlpm.text, B120,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20" t="s">
        <v>28</v>
      </c>
      <c r="E120" t="str" cm="1">
        <f t="array" ref="E120">_xlfn.LET(
  _xlpm.text, " " &amp; B120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120" t="str">
        <f t="shared" si="1"/>
        <v>https://www8.hp.com/h20195/v2/GetDocument.aspx?docname=c08138918</v>
      </c>
    </row>
    <row r="121" spans="1:7" x14ac:dyDescent="0.25">
      <c r="A121" t="s">
        <v>271</v>
      </c>
      <c r="B121" t="s">
        <v>272</v>
      </c>
      <c r="C121" t="s">
        <v>20</v>
      </c>
      <c r="D121" t="s">
        <v>47</v>
      </c>
      <c r="E121" t="str" cm="1">
        <f t="array" ref="E121">_xlfn.LET(
  _xlpm.text, " " &amp; B121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1" t="str">
        <f t="shared" si="1"/>
        <v>https://www8.hp.com/h20195/v2/GetDocument.aspx?docname=c08677219</v>
      </c>
    </row>
    <row r="122" spans="1:7" x14ac:dyDescent="0.25">
      <c r="A122" t="s">
        <v>273</v>
      </c>
      <c r="B122" t="s">
        <v>274</v>
      </c>
      <c r="C122" t="s">
        <v>20</v>
      </c>
      <c r="D122" t="s">
        <v>275</v>
      </c>
      <c r="E122" t="str" cm="1">
        <f t="array" ref="E122">_xlfn.LET(
  _xlpm.text, " " &amp; B122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2" t="str">
        <f t="shared" si="1"/>
        <v>https://www8.hp.com/h20195/v2/GetDocument.aspx?docname=c08094093</v>
      </c>
    </row>
    <row r="123" spans="1:7" x14ac:dyDescent="0.25">
      <c r="A123" t="s">
        <v>276</v>
      </c>
      <c r="B123" t="s">
        <v>277</v>
      </c>
      <c r="C123" t="str" cm="1">
        <f t="array" ref="C123">_xlfn.LET(
  _xlpm.text, B123,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23" t="str" cm="1">
        <f t="array" ref="D123">_xlfn.LET(
  _xlpm.text, B123,
  _xlpm.keywords, Category!$A$1:$A$100,
  _xlpm.matches, _xlfn._xlws.FILTER(_xlpm.keywords, ISNUMBER(SEARCH(_xlpm.keywords, _xlpm.text))),
  IF(COUNTA(_xlpm.matches) &gt; 0, INDEX(_xlpm.matches, 1), "")
)</f>
        <v>Series 7</v>
      </c>
      <c r="E123" t="str" cm="1">
        <f t="array" ref="E123">_xlfn.LET(
  _xlpm.text, " " &amp; B123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3" t="str">
        <f t="shared" si="1"/>
        <v>https://www8.hp.com/h20195/v2/GetDocument.aspx?docname=c08876530</v>
      </c>
    </row>
    <row r="124" spans="1:7" x14ac:dyDescent="0.25">
      <c r="A124" t="s">
        <v>278</v>
      </c>
      <c r="B124" t="s">
        <v>279</v>
      </c>
      <c r="C124" t="str" cm="1">
        <f t="array" ref="C124">_xlfn.LET(
  _xlpm.text, B124,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24" t="str" cm="1">
        <f t="array" ref="D124">_xlfn.LET(
  _xlpm.text, B124,
  _xlpm.keywords, Category!$A$1:$A$100,
  _xlpm.matches, _xlfn._xlws.FILTER(_xlpm.keywords, ISNUMBER(SEARCH(_xlpm.keywords, _xlpm.text))),
  IF(COUNTA(_xlpm.matches) &gt; 0, INDEX(_xlpm.matches, 1), "")
)</f>
        <v>ProBook</v>
      </c>
      <c r="E124" t="str" cm="1">
        <f t="array" ref="E124">_xlfn.LET(
  _xlpm.text, " " &amp; B124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124" t="s">
        <v>9</v>
      </c>
      <c r="G124" t="str">
        <f t="shared" si="1"/>
        <v>https://www8.hp.com/h20195/v2/GetDocument.aspx?docname=c06142921</v>
      </c>
    </row>
    <row r="125" spans="1:7" x14ac:dyDescent="0.25">
      <c r="A125" t="s">
        <v>280</v>
      </c>
      <c r="B125" t="s">
        <v>281</v>
      </c>
      <c r="C125" t="str" cm="1">
        <f t="array" ref="C125">_xlfn.LET(
  _xlpm.text, B125,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25" t="str" cm="1">
        <f t="array" ref="D125">_xlfn.LET(
  _xlpm.text, B125,
  _xlpm.keywords, Category!$A$1:$A$100,
  _xlpm.matches, _xlfn._xlws.FILTER(_xlpm.keywords, ISNUMBER(SEARCH(_xlpm.keywords, _xlpm.text))),
  IF(COUNTA(_xlpm.matches) &gt; 0, INDEX(_xlpm.matches, 1), "")
)</f>
        <v>Series 3</v>
      </c>
      <c r="E125" t="str" cm="1">
        <f t="array" ref="E125">_xlfn.LET(
  _xlpm.text, " " &amp; B125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5" t="str">
        <f t="shared" si="1"/>
        <v>https://www8.hp.com/h20195/v2/GetDocument.aspx?docname=c08982819</v>
      </c>
    </row>
    <row r="126" spans="1:7" x14ac:dyDescent="0.25">
      <c r="A126" t="s">
        <v>282</v>
      </c>
      <c r="B126" t="s">
        <v>283</v>
      </c>
      <c r="C126" t="str" cm="1">
        <f t="array" ref="C126">_xlfn.LET(
  _xlpm.text, B126,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26" t="s">
        <v>28</v>
      </c>
      <c r="E126" t="str" cm="1">
        <f t="array" ref="E126">_xlfn.LET(
  _xlpm.text, " " &amp; B126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6" t="str">
        <f t="shared" si="1"/>
        <v>https://www8.hp.com/h20195/v2/GetDocument.aspx?docname=c05591685</v>
      </c>
    </row>
    <row r="127" spans="1:7" x14ac:dyDescent="0.25">
      <c r="A127" t="s">
        <v>284</v>
      </c>
      <c r="B127" t="s">
        <v>285</v>
      </c>
      <c r="C127" t="s">
        <v>20</v>
      </c>
      <c r="D127" t="s">
        <v>21</v>
      </c>
      <c r="E127" t="str" cm="1">
        <f t="array" ref="E127">_xlfn.LET(
  _xlpm.text, " " &amp; B127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127" t="str">
        <f t="shared" si="1"/>
        <v>https://www8.hp.com/h20195/v2/GetDocument.aspx?docname=c06636832</v>
      </c>
    </row>
    <row r="128" spans="1:7" x14ac:dyDescent="0.25">
      <c r="A128" t="s">
        <v>286</v>
      </c>
      <c r="B128" t="s">
        <v>287</v>
      </c>
      <c r="C128" t="str" cm="1">
        <f t="array" ref="C128">_xlfn.LET(
  _xlpm.text, B128,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28" t="s">
        <v>47</v>
      </c>
      <c r="E128" t="str" cm="1">
        <f t="array" ref="E128">_xlfn.LET(
  _xlpm.text, " " &amp; B128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8" t="str">
        <f t="shared" si="1"/>
        <v>https://www8.hp.com/h20195/v2/GetDocument.aspx?docname=c04808495</v>
      </c>
    </row>
    <row r="129" spans="1:7" x14ac:dyDescent="0.25">
      <c r="A129" t="s">
        <v>288</v>
      </c>
      <c r="B129" t="s">
        <v>289</v>
      </c>
      <c r="C129" t="s">
        <v>20</v>
      </c>
      <c r="D129" t="s">
        <v>47</v>
      </c>
      <c r="E129" t="str" cm="1">
        <f t="array" ref="E129">_xlfn.LET(
  _xlpm.text, " " &amp; B129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29" t="str">
        <f t="shared" si="1"/>
        <v>https://www8.hp.com/h20195/v2/GetDocument.aspx?docname=c08570892</v>
      </c>
    </row>
    <row r="130" spans="1:7" x14ac:dyDescent="0.25">
      <c r="A130" t="s">
        <v>290</v>
      </c>
      <c r="B130" t="s">
        <v>291</v>
      </c>
      <c r="C130" t="str" cm="1">
        <f t="array" ref="C130">_xlfn.LET(
  _xlpm.text, B130,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130" t="s">
        <v>1159</v>
      </c>
      <c r="E130" t="str" cm="1">
        <f t="array" ref="E130">_xlfn.LET(
  _xlpm.text, " " &amp; B130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30" t="str">
        <f t="shared" si="1"/>
        <v>https://www8.hp.com/h20195/v2/GetDocument.aspx?docname=c06939061</v>
      </c>
    </row>
    <row r="131" spans="1:7" x14ac:dyDescent="0.25">
      <c r="A131" t="s">
        <v>292</v>
      </c>
      <c r="B131" t="s">
        <v>293</v>
      </c>
      <c r="C131" t="str" cm="1">
        <f t="array" ref="C131">_xlfn.LET(
  _xlpm.text, B131,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31" t="str" cm="1">
        <f t="array" ref="D131">_xlfn.LET(
  _xlpm.text, B131,
  _xlpm.keywords, Category!$A$1:$A$100,
  _xlpm.matches, _xlfn._xlws.FILTER(_xlpm.keywords, ISNUMBER(SEARCH(_xlpm.keywords, _xlpm.text))),
  IF(COUNTA(_xlpm.matches) &gt; 0, INDEX(_xlpm.matches, 1), "")
)</f>
        <v>Zero Client</v>
      </c>
      <c r="E131" t="str" cm="1">
        <f t="array" ref="E131">_xlfn.LET(
  _xlpm.text, " " &amp; B131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31" t="str">
        <f t="shared" ref="G131:G193" si="2">_xlfn.CONCAT("https://www8.hp.com/h20195/v2/GetDocument.aspx?docname=",A131)</f>
        <v>https://www8.hp.com/h20195/v2/GetDocument.aspx?docname=c09002401</v>
      </c>
    </row>
    <row r="132" spans="1:7" x14ac:dyDescent="0.25">
      <c r="A132" t="s">
        <v>294</v>
      </c>
      <c r="B132" t="s">
        <v>295</v>
      </c>
      <c r="C132" t="str" cm="1">
        <f t="array" ref="C132">_xlfn.LET(
  _xlpm.text, B132,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132" t="s">
        <v>145</v>
      </c>
      <c r="E132" t="str" cm="1">
        <f t="array" ref="E132">_xlfn.LET(
  _xlpm.text, " " &amp; B132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32" t="str">
        <f t="shared" si="2"/>
        <v>https://www8.hp.com/h20195/v2/GetDocument.aspx?docname=c08345489</v>
      </c>
    </row>
    <row r="133" spans="1:7" x14ac:dyDescent="0.25">
      <c r="A133" t="s">
        <v>296</v>
      </c>
      <c r="B133" t="s">
        <v>297</v>
      </c>
      <c r="C133" t="str" cm="1">
        <f t="array" ref="C133">_xlfn.LET(
  _xlpm.text, B133,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33" t="s">
        <v>85</v>
      </c>
      <c r="E133" t="str" cm="1">
        <f t="array" ref="E133">_xlfn.LET(
  _xlpm.text, " " &amp; B133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33" t="str">
        <f t="shared" si="2"/>
        <v>https://www8.hp.com/h20195/v2/GetDocument.aspx?docname=c07718766</v>
      </c>
    </row>
    <row r="134" spans="1:7" x14ac:dyDescent="0.25">
      <c r="A134" t="s">
        <v>298</v>
      </c>
      <c r="B134" t="s">
        <v>299</v>
      </c>
      <c r="C134" t="str" cm="1">
        <f t="array" ref="C134">_xlfn.LET(
  _xlpm.text, B134,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34" t="str" cm="1">
        <f t="array" ref="D134">_xlfn.LET(
  _xlpm.text, B134,
  _xlpm.keywords, Category!$A$1:$A$100,
  _xlpm.matches, _xlfn._xlws.FILTER(_xlpm.keywords, ISNUMBER(SEARCH(_xlpm.keywords, _xlpm.text))),
  IF(COUNTA(_xlpm.matches) &gt; 0, INDEX(_xlpm.matches, 1), "")
)</f>
        <v>Thin Client</v>
      </c>
      <c r="E134" t="str" cm="1">
        <f t="array" ref="E134">_xlfn.LET(
  _xlpm.text, " " &amp; B134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34" t="str">
        <f t="shared" si="2"/>
        <v>https://www8.hp.com/h20195/v2/GetDocument.aspx?docname=c06393061</v>
      </c>
    </row>
    <row r="135" spans="1:7" x14ac:dyDescent="0.25">
      <c r="A135" t="s">
        <v>300</v>
      </c>
      <c r="B135" t="s">
        <v>301</v>
      </c>
      <c r="C135" t="str" cm="1">
        <f t="array" ref="C135">_xlfn.LET(
  _xlpm.text, B135,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35" t="s">
        <v>89</v>
      </c>
      <c r="E135" t="str" cm="1">
        <f t="array" ref="E135">_xlfn.LET(
  _xlpm.text, " " &amp; B135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35" t="str">
        <f t="shared" si="2"/>
        <v>https://www8.hp.com/h20195/v2/GetDocument.aspx?docname=c08559813</v>
      </c>
    </row>
    <row r="136" spans="1:7" x14ac:dyDescent="0.25">
      <c r="A136" t="s">
        <v>302</v>
      </c>
      <c r="B136" t="s">
        <v>303</v>
      </c>
      <c r="C136" t="str" cm="1">
        <f t="array" ref="C136">_xlfn.LET(
  _xlpm.text, B136,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36" t="str" cm="1">
        <f t="array" ref="D136">_xlfn.LET(
  _xlpm.text, B136,
  _xlpm.keywords, Category!$A$1:$A$100,
  _xlpm.matches, _xlfn._xlws.FILTER(_xlpm.keywords, ISNUMBER(SEARCH(_xlpm.keywords, _xlpm.text))),
  IF(COUNTA(_xlpm.matches) &gt; 0, INDEX(_xlpm.matches, 1), "")
)</f>
        <v>ZBook</v>
      </c>
      <c r="E136" t="str" cm="1">
        <f t="array" ref="E136">_xlfn.LET(
  _xlpm.text, " " &amp; B136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36" t="str">
        <f t="shared" si="2"/>
        <v>https://www8.hp.com/h20195/v2/GetDocument.aspx?docname=c08160125</v>
      </c>
    </row>
    <row r="137" spans="1:7" x14ac:dyDescent="0.25">
      <c r="A137" t="s">
        <v>304</v>
      </c>
      <c r="B137" t="s">
        <v>305</v>
      </c>
      <c r="C137" t="str" cm="1">
        <f t="array" ref="C137">_xlfn.LET(
  _xlpm.text, B137,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37" t="s">
        <v>85</v>
      </c>
      <c r="E137" t="s">
        <v>1116</v>
      </c>
      <c r="G137" t="str">
        <f t="shared" si="2"/>
        <v>https://www8.hp.com/h20195/v2/GetDocument.aspx?docname=c07718768</v>
      </c>
    </row>
    <row r="138" spans="1:7" x14ac:dyDescent="0.25">
      <c r="A138" t="s">
        <v>306</v>
      </c>
      <c r="B138" t="s">
        <v>307</v>
      </c>
      <c r="C138" t="str" cm="1">
        <f t="array" ref="C138">_xlfn.LET(
  _xlpm.text, B138,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38" t="str" cm="1">
        <f t="array" ref="D138">_xlfn.LET(
  _xlpm.text, B138,
  _xlpm.keywords, Category!$A$1:$A$100,
  _xlpm.matches, _xlfn._xlws.FILTER(_xlpm.keywords, ISNUMBER(SEARCH(_xlpm.keywords, _xlpm.text))),
  IF(COUNTA(_xlpm.matches) &gt; 0, INDEX(_xlpm.matches, 1), "")
)</f>
        <v>ProDesk</v>
      </c>
      <c r="E138" t="str" cm="1">
        <f t="array" ref="E138">_xlfn.LET(
  _xlpm.text, " " &amp; B138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38" t="str">
        <f t="shared" si="2"/>
        <v>https://www8.hp.com/h20195/v2/GetDocument.aspx?docname=c06043924</v>
      </c>
    </row>
    <row r="139" spans="1:7" x14ac:dyDescent="0.25">
      <c r="A139" t="s">
        <v>308</v>
      </c>
      <c r="B139" t="s">
        <v>309</v>
      </c>
      <c r="C139" t="str" cm="1">
        <f t="array" ref="C139">_xlfn.LET(
  _xlpm.text, B139,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39" t="str" cm="1">
        <f t="array" ref="D139">_xlfn.LET(
  _xlpm.text, B139,
  _xlpm.keywords, Category!$A$1:$A$100,
  _xlpm.matches, _xlfn._xlws.FILTER(_xlpm.keywords, ISNUMBER(SEARCH(_xlpm.keywords, _xlpm.text))),
  IF(COUNTA(_xlpm.matches) &gt; 0, INDEX(_xlpm.matches, 1), "")
)</f>
        <v>EliteDesk</v>
      </c>
      <c r="E139" t="str" cm="1">
        <f t="array" ref="E139">_xlfn.LET(
  _xlpm.text, " " &amp; B139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39" t="str">
        <f t="shared" si="2"/>
        <v>https://www8.hp.com/h20195/v2/GetDocument.aspx?docname=c06040430</v>
      </c>
    </row>
    <row r="140" spans="1:7" x14ac:dyDescent="0.25">
      <c r="A140" t="s">
        <v>310</v>
      </c>
      <c r="B140" t="s">
        <v>311</v>
      </c>
      <c r="C140" t="s">
        <v>20</v>
      </c>
      <c r="D140" t="s">
        <v>21</v>
      </c>
      <c r="E140" t="str" cm="1">
        <f t="array" ref="E140">_xlfn.LET(
  _xlpm.text, " " &amp; B140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40" t="str">
        <f t="shared" si="2"/>
        <v>https://www8.hp.com/h20195/v2/GetDocument.aspx?docname=c05979334</v>
      </c>
    </row>
    <row r="141" spans="1:7" x14ac:dyDescent="0.25">
      <c r="A141" t="s">
        <v>312</v>
      </c>
      <c r="B141" t="s">
        <v>313</v>
      </c>
      <c r="C141" t="str" cm="1">
        <f t="array" ref="C141">_xlfn.LET(
  _xlpm.text, B141,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41" t="str" cm="1">
        <f t="array" ref="D141">_xlfn.LET(
  _xlpm.text, B141,
  _xlpm.keywords, Category!$A$1:$A$100,
  _xlpm.matches, _xlfn._xlws.FILTER(_xlpm.keywords, ISNUMBER(SEARCH(_xlpm.keywords, _xlpm.text))),
  IF(COUNTA(_xlpm.matches) &gt; 0, INDEX(_xlpm.matches, 1), "")
)</f>
        <v>ProDesk</v>
      </c>
      <c r="E141" t="str" cm="1">
        <f t="array" ref="E141">_xlfn.LET(
  _xlpm.text, " " &amp; B141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41" t="str">
        <f t="shared" si="2"/>
        <v>https://www8.hp.com/h20195/v2/GetDocument.aspx?docname=c06500694</v>
      </c>
    </row>
    <row r="142" spans="1:7" x14ac:dyDescent="0.25">
      <c r="A142" t="s">
        <v>314</v>
      </c>
      <c r="B142" t="s">
        <v>315</v>
      </c>
      <c r="C142" t="str" cm="1">
        <f t="array" ref="C142">_xlfn.LET(
  _xlpm.text, B142,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42" t="str" cm="1">
        <f t="array" ref="D142">_xlfn.LET(
  _xlpm.text, B142,
  _xlpm.keywords, Category!$A$1:$A$100,
  _xlpm.matches, _xlfn._xlws.FILTER(_xlpm.keywords, ISNUMBER(SEARCH(_xlpm.keywords, _xlpm.text))),
  IF(COUNTA(_xlpm.matches) &gt; 0, INDEX(_xlpm.matches, 1), "")
)</f>
        <v>ZBook</v>
      </c>
      <c r="E142" t="str" cm="1">
        <f t="array" ref="E142">_xlfn.LET(
  _xlpm.text, " " &amp; B142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42" t="str">
        <f t="shared" si="2"/>
        <v>https://www8.hp.com/h20195/v2/GetDocument.aspx?docname=c08143317</v>
      </c>
    </row>
    <row r="143" spans="1:7" x14ac:dyDescent="0.25">
      <c r="A143" t="s">
        <v>316</v>
      </c>
      <c r="B143" t="s">
        <v>317</v>
      </c>
      <c r="C143" t="str" cm="1">
        <f t="array" ref="C143">_xlfn.LET(
  _xlpm.text, B143,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43" t="str" cm="1">
        <f t="array" ref="D143">_xlfn.LET(
  _xlpm.text, B143,
  _xlpm.keywords, Category!$A$1:$A$100,
  _xlpm.matches, _xlfn._xlws.FILTER(_xlpm.keywords, ISNUMBER(SEARCH(_xlpm.keywords, _xlpm.text))),
  IF(COUNTA(_xlpm.matches) &gt; 0, INDEX(_xlpm.matches, 1), "")
)</f>
        <v>x2</v>
      </c>
      <c r="E143" t="str" cm="1">
        <f t="array" ref="E143">_xlfn.LET(
  _xlpm.text, " " &amp; B143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143" t="str">
        <f t="shared" si="2"/>
        <v>https://www8.hp.com/h20195/v2/GetDocument.aspx?docname=c07008448</v>
      </c>
    </row>
    <row r="144" spans="1:7" x14ac:dyDescent="0.25">
      <c r="A144" t="s">
        <v>318</v>
      </c>
      <c r="B144" t="s">
        <v>319</v>
      </c>
      <c r="C144" t="str" cm="1">
        <f t="array" ref="C144">_xlfn.LET(
  _xlpm.text, B144,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44" t="str" cm="1">
        <f t="array" ref="D144">_xlfn.LET(
  _xlpm.text, B144,
  _xlpm.keywords, Category!$A$1:$A$100,
  _xlpm.matches, _xlfn._xlws.FILTER(_xlpm.keywords, ISNUMBER(SEARCH(_xlpm.keywords, _xlpm.text))),
  IF(COUNTA(_xlpm.matches) &gt; 0, INDEX(_xlpm.matches, 1), "")
)</f>
        <v>ZBook</v>
      </c>
      <c r="E144" t="str" cm="1">
        <f t="array" ref="E144">_xlfn.LET(
  _xlpm.text, " " &amp; B144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44" t="str">
        <f t="shared" si="2"/>
        <v>https://www8.hp.com/h20195/v2/GetDocument.aspx?docname=c08552811</v>
      </c>
    </row>
    <row r="145" spans="1:7" x14ac:dyDescent="0.25">
      <c r="A145" t="s">
        <v>320</v>
      </c>
      <c r="B145" t="s">
        <v>321</v>
      </c>
      <c r="C145" t="str" cm="1">
        <f t="array" ref="C145">_xlfn.LET(
  _xlpm.text, B145,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145" t="s">
        <v>1159</v>
      </c>
      <c r="E145" t="str" cm="1">
        <f t="array" ref="E145">_xlfn.LET(
  _xlpm.text, " " &amp; B145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145" t="str">
        <f t="shared" si="2"/>
        <v>https://www8.hp.com/h20195/v2/GetDocument.aspx?docname=c05527763</v>
      </c>
    </row>
    <row r="146" spans="1:7" x14ac:dyDescent="0.25">
      <c r="A146" t="s">
        <v>322</v>
      </c>
      <c r="B146" t="s">
        <v>323</v>
      </c>
      <c r="C146" t="str" cm="1">
        <f t="array" ref="C146">_xlfn.LET(
  _xlpm.text, B146,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46" t="str" cm="1">
        <f t="array" ref="D146">_xlfn.LET(
  _xlpm.text, B146,
  _xlpm.keywords, Category!$A$1:$A$100,
  _xlpm.matches, _xlfn._xlws.FILTER(_xlpm.keywords, ISNUMBER(SEARCH(_xlpm.keywords, _xlpm.text))),
  IF(COUNTA(_xlpm.matches) &gt; 0, INDEX(_xlpm.matches, 1), "")
)</f>
        <v>EliteBook</v>
      </c>
      <c r="E146" t="str" cm="1">
        <f t="array" ref="E146">_xlfn.LET(
  _xlpm.text, " " &amp; B146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46" t="str">
        <f t="shared" si="2"/>
        <v>https://www8.hp.com/h20195/v2/GetDocument.aspx?docname=c08487726</v>
      </c>
    </row>
    <row r="147" spans="1:7" x14ac:dyDescent="0.25">
      <c r="A147" t="s">
        <v>324</v>
      </c>
      <c r="B147" t="s">
        <v>325</v>
      </c>
      <c r="C147" t="str" cm="1">
        <f t="array" ref="C147">_xlfn.LET(
  _xlpm.text, B147,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47" t="str" cm="1">
        <f t="array" ref="D147">_xlfn.LET(
  _xlpm.text, B147,
  _xlpm.keywords, Category!$A$1:$A$100,
  _xlpm.matches, _xlfn._xlws.FILTER(_xlpm.keywords, ISNUMBER(SEARCH(_xlpm.keywords, _xlpm.text))),
  IF(COUNTA(_xlpm.matches) &gt; 0, INDEX(_xlpm.matches, 1), "")
)</f>
        <v>ZBook</v>
      </c>
      <c r="E147" t="str" cm="1">
        <f t="array" ref="E147">_xlfn.LET(
  _xlpm.text, " " &amp; B147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47" t="str">
        <f t="shared" si="2"/>
        <v>https://www8.hp.com/h20195/v2/GetDocument.aspx?docname=c08552810</v>
      </c>
    </row>
    <row r="148" spans="1:7" x14ac:dyDescent="0.25">
      <c r="A148" t="s">
        <v>326</v>
      </c>
      <c r="B148" t="s">
        <v>327</v>
      </c>
      <c r="C148" t="str" cm="1">
        <f t="array" ref="C148">_xlfn.LET(
  _xlpm.text, B148,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48" t="str" cm="1">
        <f t="array" ref="D148">_xlfn.LET(
  _xlpm.text, B148,
  _xlpm.keywords, Category!$A$1:$A$100,
  _xlpm.matches, _xlfn._xlws.FILTER(_xlpm.keywords, ISNUMBER(SEARCH(_xlpm.keywords, _xlpm.text))),
  IF(COUNTA(_xlpm.matches) &gt; 0, INDEX(_xlpm.matches, 1), "")
)</f>
        <v>Thin Client</v>
      </c>
      <c r="E148" t="str" cm="1">
        <f t="array" ref="E148">_xlfn.LET(
  _xlpm.text, " " &amp; B148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48" t="str">
        <f t="shared" si="2"/>
        <v>https://www8.hp.com/h20195/v2/GetDocument.aspx?docname=c04743502</v>
      </c>
    </row>
    <row r="149" spans="1:7" x14ac:dyDescent="0.25">
      <c r="A149" t="s">
        <v>328</v>
      </c>
      <c r="B149" t="s">
        <v>329</v>
      </c>
      <c r="C149" t="str" cm="1">
        <f t="array" ref="C149">_xlfn.LET(
  _xlpm.text, B149,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49" t="s">
        <v>1154</v>
      </c>
      <c r="E149" t="str" cm="1">
        <f t="array" ref="E149">_xlfn.LET(
  _xlpm.text, " " &amp; B149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49" t="str">
        <f t="shared" si="2"/>
        <v>https://www8.hp.com/h20195/v2/GetDocument.aspx?docname=c08991745</v>
      </c>
    </row>
    <row r="150" spans="1:7" x14ac:dyDescent="0.25">
      <c r="A150" t="s">
        <v>330</v>
      </c>
      <c r="B150" t="s">
        <v>331</v>
      </c>
      <c r="C150" t="s">
        <v>20</v>
      </c>
      <c r="D150" t="s">
        <v>47</v>
      </c>
      <c r="G150" t="str">
        <f t="shared" si="2"/>
        <v>https://www8.hp.com/h20195/v2/GetDocument.aspx?docname=c09158404</v>
      </c>
    </row>
    <row r="151" spans="1:7" x14ac:dyDescent="0.25">
      <c r="A151" t="s">
        <v>332</v>
      </c>
      <c r="B151" t="s">
        <v>333</v>
      </c>
      <c r="C151" t="s">
        <v>248</v>
      </c>
      <c r="D151" t="s">
        <v>245</v>
      </c>
      <c r="E151" t="str" cm="1">
        <f t="array" ref="E151">_xlfn.LET(
  _xlpm.text, " " &amp; B151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151" t="str">
        <f t="shared" si="2"/>
        <v>https://www8.hp.com/h20195/v2/GetDocument.aspx?docname=c09120491</v>
      </c>
    </row>
    <row r="152" spans="1:7" x14ac:dyDescent="0.25">
      <c r="A152" t="s">
        <v>334</v>
      </c>
      <c r="B152" t="s">
        <v>335</v>
      </c>
      <c r="C152" t="s">
        <v>248</v>
      </c>
      <c r="D152" t="s">
        <v>245</v>
      </c>
      <c r="E152" t="str" cm="1">
        <f t="array" ref="E152">_xlfn.LET(
  _xlpm.text, " " &amp; B152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152" t="str">
        <f t="shared" si="2"/>
        <v>https://www8.hp.com/h20195/v2/GetDocument.aspx?docname=c09120492</v>
      </c>
    </row>
    <row r="153" spans="1:7" x14ac:dyDescent="0.25">
      <c r="A153" t="s">
        <v>336</v>
      </c>
      <c r="B153" t="s">
        <v>337</v>
      </c>
      <c r="C153" t="s">
        <v>59</v>
      </c>
      <c r="D153" t="s">
        <v>1159</v>
      </c>
      <c r="E153" t="str" cm="1">
        <f t="array" ref="E153">_xlfn.LET(
  _xlpm.text, " " &amp; B153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53" t="str">
        <f t="shared" si="2"/>
        <v>https://www8.hp.com/h20195/v2/GetDocument.aspx?docname=c08112669</v>
      </c>
    </row>
    <row r="154" spans="1:7" x14ac:dyDescent="0.25">
      <c r="A154" t="s">
        <v>338</v>
      </c>
      <c r="B154" t="s">
        <v>339</v>
      </c>
      <c r="C154" t="s">
        <v>41</v>
      </c>
      <c r="D154" t="s">
        <v>224</v>
      </c>
      <c r="E154" t="str" cm="1">
        <f t="array" ref="E154">_xlfn.LET(
  _xlpm.text, " " &amp; B154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54" t="str">
        <f t="shared" si="2"/>
        <v>https://www8.hp.com/h20195/v2/GetDocument.aspx?docname=c08876531</v>
      </c>
    </row>
    <row r="155" spans="1:7" x14ac:dyDescent="0.25">
      <c r="A155" t="s">
        <v>340</v>
      </c>
      <c r="B155" t="s">
        <v>341</v>
      </c>
      <c r="C155" t="str" cm="1">
        <f t="array" ref="C155">_xlfn.LET(
  _xlpm.text, B155,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55" t="str" cm="1">
        <f t="array" ref="D155">_xlfn.LET(
  _xlpm.text, B155,
  _xlpm.keywords, Category!$A$1:$A$100,
  _xlpm.matches, _xlfn._xlws.FILTER(_xlpm.keywords, ISNUMBER(SEARCH(_xlpm.keywords, _xlpm.text))),
  IF(COUNTA(_xlpm.matches) &gt; 0, INDEX(_xlpm.matches, 1), "")
)</f>
        <v>EliteBook</v>
      </c>
      <c r="E155" t="str" cm="1">
        <f t="array" ref="E155">_xlfn.LET(
  _xlpm.text, " " &amp; B155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55" t="str">
        <f t="shared" si="2"/>
        <v>https://www8.hp.com/h20195/v2/GetDocument.aspx?docname=c09100635</v>
      </c>
    </row>
    <row r="156" spans="1:7" x14ac:dyDescent="0.25">
      <c r="A156" t="s">
        <v>342</v>
      </c>
      <c r="B156" t="s">
        <v>343</v>
      </c>
      <c r="C156" t="str" cm="1">
        <f t="array" ref="C156">_xlfn.LET(
  _xlpm.text, B156,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56" t="str" cm="1">
        <f t="array" ref="D156">_xlfn.LET(
  _xlpm.text, B156,
  _xlpm.keywords, Category!$A$1:$A$100,
  _xlpm.matches, _xlfn._xlws.FILTER(_xlpm.keywords, ISNUMBER(SEARCH(_xlpm.keywords, _xlpm.text))),
  IF(COUNTA(_xlpm.matches) &gt; 0, INDEX(_xlpm.matches, 1), "")
)</f>
        <v>EliteBook</v>
      </c>
      <c r="E156" t="str" cm="1">
        <f t="array" ref="E156">_xlfn.LET(
  _xlpm.text, " " &amp; B156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56" t="str">
        <f t="shared" si="2"/>
        <v>https://www8.hp.com/h20195/v2/GetDocument.aspx?docname=c08460852</v>
      </c>
    </row>
    <row r="157" spans="1:7" x14ac:dyDescent="0.25">
      <c r="A157" t="s">
        <v>344</v>
      </c>
      <c r="B157" t="s">
        <v>345</v>
      </c>
      <c r="C157" t="str" cm="1">
        <f t="array" ref="C157">_xlfn.LET(
  _xlpm.text, B157,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57" t="str" cm="1">
        <f t="array" ref="D157">_xlfn.LET(
  _xlpm.text, B157,
  _xlpm.keywords, Category!$A$1:$A$100,
  _xlpm.matches, _xlfn._xlws.FILTER(_xlpm.keywords, ISNUMBER(SEARCH(_xlpm.keywords, _xlpm.text))),
  IF(COUNTA(_xlpm.matches) &gt; 0, INDEX(_xlpm.matches, 1), "")
)</f>
        <v>EliteBook</v>
      </c>
      <c r="E157" t="str" cm="1">
        <f t="array" ref="E157">_xlfn.LET(
  _xlpm.text, " " &amp; B157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57" t="str">
        <f t="shared" si="2"/>
        <v>https://www8.hp.com/h20195/v2/GetDocument.aspx?docname=c08460850</v>
      </c>
    </row>
    <row r="158" spans="1:7" x14ac:dyDescent="0.25">
      <c r="A158" t="s">
        <v>346</v>
      </c>
      <c r="B158" t="s">
        <v>347</v>
      </c>
      <c r="C158" t="str" cm="1">
        <f t="array" ref="C158">_xlfn.LET(
  _xlpm.text, B158,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58" t="str" cm="1">
        <f t="array" ref="D158">_xlfn.LET(
  _xlpm.text, B158,
  _xlpm.keywords, Category!$A$1:$A$100,
  _xlpm.matches, _xlfn._xlws.FILTER(_xlpm.keywords, ISNUMBER(SEARCH(_xlpm.keywords, _xlpm.text))),
  IF(COUNTA(_xlpm.matches) &gt; 0, INDEX(_xlpm.matches, 1), "")
)</f>
        <v>EliteBook</v>
      </c>
      <c r="E158" t="str" cm="1">
        <f t="array" ref="E158">_xlfn.LET(
  _xlpm.text, " " &amp; B158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58" t="str">
        <f t="shared" si="2"/>
        <v>https://www8.hp.com/h20195/v2/GetDocument.aspx?docname=c08927103</v>
      </c>
    </row>
    <row r="159" spans="1:7" x14ac:dyDescent="0.25">
      <c r="A159" t="s">
        <v>348</v>
      </c>
      <c r="B159" t="s">
        <v>349</v>
      </c>
      <c r="C159" t="str" cm="1">
        <f t="array" ref="C159">_xlfn.LET(
  _xlpm.text, B159,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59" t="str" cm="1">
        <f t="array" ref="D159">_xlfn.LET(
  _xlpm.text, B159,
  _xlpm.keywords, Category!$A$1:$A$100,
  _xlpm.matches, _xlfn._xlws.FILTER(_xlpm.keywords, ISNUMBER(SEARCH(_xlpm.keywords, _xlpm.text))),
  IF(COUNTA(_xlpm.matches) &gt; 0, INDEX(_xlpm.matches, 1), "")
)</f>
        <v>EliteBook</v>
      </c>
      <c r="E159" t="str" cm="1">
        <f t="array" ref="E159">_xlfn.LET(
  _xlpm.text, " " &amp; B159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59" t="str">
        <f t="shared" si="2"/>
        <v>https://www8.hp.com/h20195/v2/GetDocument.aspx?docname=c08893141</v>
      </c>
    </row>
    <row r="160" spans="1:7" x14ac:dyDescent="0.25">
      <c r="A160" t="s">
        <v>350</v>
      </c>
      <c r="B160" t="s">
        <v>351</v>
      </c>
      <c r="C160" t="str" cm="1">
        <f t="array" ref="C160">_xlfn.LET(
  _xlpm.text, B160,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60" t="str" cm="1">
        <f t="array" ref="D160">_xlfn.LET(
  _xlpm.text, B160,
  _xlpm.keywords, Category!$A$1:$A$100,
  _xlpm.matches, _xlfn._xlws.FILTER(_xlpm.keywords, ISNUMBER(SEARCH(_xlpm.keywords, _xlpm.text))),
  IF(COUNTA(_xlpm.matches) &gt; 0, INDEX(_xlpm.matches, 1), "")
)</f>
        <v>ProDesk</v>
      </c>
      <c r="E160" t="str" cm="1">
        <f t="array" ref="E160">_xlfn.LET(
  _xlpm.text, " " &amp; B160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160" t="str">
        <f t="shared" si="2"/>
        <v>https://www8.hp.com/h20195/v2/GetDocument.aspx?docname=c09085101</v>
      </c>
    </row>
    <row r="161" spans="1:7" x14ac:dyDescent="0.25">
      <c r="A161" t="s">
        <v>352</v>
      </c>
      <c r="B161" t="s">
        <v>353</v>
      </c>
      <c r="C161" t="str" cm="1">
        <f t="array" ref="C161">_xlfn.LET(
  _xlpm.text, B161,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61" t="str" cm="1">
        <f t="array" ref="D161">_xlfn.LET(
  _xlpm.text, B161,
  _xlpm.keywords, Category!$A$1:$A$100,
  _xlpm.matches, _xlfn._xlws.FILTER(_xlpm.keywords, ISNUMBER(SEARCH(_xlpm.keywords, _xlpm.text))),
  IF(COUNTA(_xlpm.matches) &gt; 0, INDEX(_xlpm.matches, 1), "")
)</f>
        <v>ProOne</v>
      </c>
      <c r="E161" t="str" cm="1">
        <f t="array" ref="E161">_xlfn.LET(
  _xlpm.text, " " &amp; B161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61" t="str">
        <f t="shared" si="2"/>
        <v>https://www8.hp.com/h20195/v2/GetDocument.aspx?docname=c08701378</v>
      </c>
    </row>
    <row r="162" spans="1:7" x14ac:dyDescent="0.25">
      <c r="A162" t="s">
        <v>354</v>
      </c>
      <c r="B162" t="s">
        <v>355</v>
      </c>
      <c r="C162" t="str" cm="1">
        <f t="array" ref="C162">_xlfn.LET(
  _xlpm.text, B162,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2" t="str" cm="1">
        <f t="array" ref="D162">_xlfn.LET(
  _xlpm.text, B162,
  _xlpm.keywords, Category!$A$1:$A$100,
  _xlpm.matches, _xlfn._xlws.FILTER(_xlpm.keywords, ISNUMBER(SEARCH(_xlpm.keywords, _xlpm.text))),
  IF(COUNTA(_xlpm.matches) &gt; 0, INDEX(_xlpm.matches, 1), "")
)</f>
        <v>EliteBook</v>
      </c>
      <c r="E162" t="str" cm="1">
        <f t="array" ref="E162">_xlfn.LET(
  _xlpm.text, " " &amp; B162 &amp; " ",
  _xlpm.keywords, GenList!$A$1:$A$100,
  _xlpm.paddedKeywords, " " &amp; _xlpm.keywords &amp; " ",
  _xlpm.matches, _xlfn._xlws.FILTER(_xlpm.keywords, ISNUMBER(SEARCH(_xlpm.paddedKeywords, _xlpm.text))),
  IFERROR(INDEX(_xlpm.matches, 1), "")
)</f>
        <v>G1q</v>
      </c>
      <c r="G162" t="str">
        <f t="shared" si="2"/>
        <v>https://www8.hp.com/h20195/v2/GetDocument.aspx?docname=c08980879</v>
      </c>
    </row>
    <row r="163" spans="1:7" x14ac:dyDescent="0.25">
      <c r="A163" t="s">
        <v>356</v>
      </c>
      <c r="B163" t="s">
        <v>357</v>
      </c>
      <c r="C163" t="str" cm="1">
        <f t="array" ref="C163">_xlfn.LET(
  _xlpm.text, B163,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3" t="str" cm="1">
        <f t="array" ref="D163">_xlfn.LET(
  _xlpm.text, B163,
  _xlpm.keywords, Category!$A$1:$A$100,
  _xlpm.matches, _xlfn._xlws.FILTER(_xlpm.keywords, ISNUMBER(SEARCH(_xlpm.keywords, _xlpm.text))),
  IF(COUNTA(_xlpm.matches) &gt; 0, INDEX(_xlpm.matches, 1), "")
)</f>
        <v>ProBook</v>
      </c>
      <c r="E163" t="s">
        <v>358</v>
      </c>
      <c r="G163" t="str">
        <f t="shared" si="2"/>
        <v>https://www8.hp.com/h20195/v2/GetDocument.aspx?docname=c09119776</v>
      </c>
    </row>
    <row r="164" spans="1:7" x14ac:dyDescent="0.25">
      <c r="A164" t="s">
        <v>359</v>
      </c>
      <c r="B164" t="s">
        <v>360</v>
      </c>
      <c r="C164" t="str" cm="1">
        <f t="array" ref="C164">_xlfn.LET(
  _xlpm.text, B164,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4" t="str" cm="1">
        <f t="array" ref="D164">_xlfn.LET(
  _xlpm.text, B164,
  _xlpm.keywords, Category!$A$1:$A$100,
  _xlpm.matches, _xlfn._xlws.FILTER(_xlpm.keywords, ISNUMBER(SEARCH(_xlpm.keywords, _xlpm.text))),
  IF(COUNTA(_xlpm.matches) &gt; 0, INDEX(_xlpm.matches, 1), "")
)</f>
        <v>ProBook</v>
      </c>
      <c r="E164" t="s">
        <v>358</v>
      </c>
      <c r="G164" t="str">
        <f t="shared" si="2"/>
        <v>https://www8.hp.com/h20195/v2/GetDocument.aspx?docname=c09119775</v>
      </c>
    </row>
    <row r="165" spans="1:7" x14ac:dyDescent="0.25">
      <c r="A165" t="s">
        <v>361</v>
      </c>
      <c r="B165" t="s">
        <v>362</v>
      </c>
      <c r="C165" t="str" cm="1">
        <f t="array" ref="C165">_xlfn.LET(
  _xlpm.text, B165,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5" t="str" cm="1">
        <f t="array" ref="D165">_xlfn.LET(
  _xlpm.text, B165,
  _xlpm.keywords, Category!$A$1:$A$100,
  _xlpm.matches, _xlfn._xlws.FILTER(_xlpm.keywords, ISNUMBER(SEARCH(_xlpm.keywords, _xlpm.text))),
  IF(COUNTA(_xlpm.matches) &gt; 0, INDEX(_xlpm.matches, 1), "")
)</f>
        <v>ChromeBook</v>
      </c>
      <c r="E165" t="str" cm="1">
        <f t="array" ref="E165">_xlfn.LET(
  _xlpm.text, " " &amp; B165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165" t="s">
        <v>9</v>
      </c>
      <c r="G165" t="str">
        <f t="shared" si="2"/>
        <v>https://www8.hp.com/h20195/v2/GetDocument.aspx?docname=c08818352</v>
      </c>
    </row>
    <row r="166" spans="1:7" x14ac:dyDescent="0.25">
      <c r="A166" t="s">
        <v>363</v>
      </c>
      <c r="B166" t="s">
        <v>364</v>
      </c>
      <c r="C166" t="str" cm="1">
        <f t="array" ref="C166">_xlfn.LET(
  _xlpm.text, B166,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6" t="str" cm="1">
        <f t="array" ref="D166">_xlfn.LET(
  _xlpm.text, B166,
  _xlpm.keywords, Category!$A$1:$A$100,
  _xlpm.matches, _xlfn._xlws.FILTER(_xlpm.keywords, ISNUMBER(SEARCH(_xlpm.keywords, _xlpm.text))),
  IF(COUNTA(_xlpm.matches) &gt; 0, INDEX(_xlpm.matches, 1), "")
)</f>
        <v>ProBook</v>
      </c>
      <c r="E166" t="str" cm="1">
        <f t="array" ref="E166">_xlfn.LET(
  _xlpm.text, " " &amp; B166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66" t="str">
        <f t="shared" si="2"/>
        <v>https://www8.hp.com/h20195/v2/GetDocument.aspx?docname=c08433427</v>
      </c>
    </row>
    <row r="167" spans="1:7" x14ac:dyDescent="0.25">
      <c r="A167" t="s">
        <v>365</v>
      </c>
      <c r="B167" t="s">
        <v>366</v>
      </c>
      <c r="C167" t="str" cm="1">
        <f t="array" ref="C167">_xlfn.LET(
  _xlpm.text, B167,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67" t="str" cm="1">
        <f t="array" ref="D167">_xlfn.LET(
  _xlpm.text, B167,
  _xlpm.keywords, Category!$A$1:$A$100,
  _xlpm.matches, _xlfn._xlws.FILTER(_xlpm.keywords, ISNUMBER(SEARCH(_xlpm.keywords, _xlpm.text))),
  IF(COUNTA(_xlpm.matches) &gt; 0, INDEX(_xlpm.matches, 1), "")
)</f>
        <v>Series 3</v>
      </c>
      <c r="E167" t="str" cm="1">
        <f t="array" ref="E167">_xlfn.LET(
  _xlpm.text, " " &amp; B167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67" t="str">
        <f t="shared" si="2"/>
        <v>https://www8.hp.com/h20195/v2/GetDocument.aspx?docname=c08982818</v>
      </c>
    </row>
    <row r="168" spans="1:7" x14ac:dyDescent="0.25">
      <c r="A168" t="s">
        <v>367</v>
      </c>
      <c r="B168" t="s">
        <v>368</v>
      </c>
      <c r="C168" t="str" cm="1">
        <f t="array" ref="C168">_xlfn.LET(
  _xlpm.text, B168,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8" t="str" cm="1">
        <f t="array" ref="D168">_xlfn.LET(
  _xlpm.text, B168,
  _xlpm.keywords, Category!$A$1:$A$100,
  _xlpm.matches, _xlfn._xlws.FILTER(_xlpm.keywords, ISNUMBER(SEARCH(_xlpm.keywords, _xlpm.text))),
  IF(COUNTA(_xlpm.matches) &gt; 0, INDEX(_xlpm.matches, 1), "")
)</f>
        <v>EliteBook</v>
      </c>
      <c r="E168" t="str" cm="1">
        <f t="array" ref="E168">_xlfn.LET(
  _xlpm.text, " " &amp; B168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68" t="str">
        <f t="shared" si="2"/>
        <v>https://www8.hp.com/h20195/v2/GetDocument.aspx?docname=c09097608</v>
      </c>
    </row>
    <row r="169" spans="1:7" x14ac:dyDescent="0.25">
      <c r="A169" t="s">
        <v>369</v>
      </c>
      <c r="B169" t="s">
        <v>370</v>
      </c>
      <c r="C169" t="str" cm="1">
        <f t="array" ref="C169">_xlfn.LET(
  _xlpm.text, B169,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69" t="str" cm="1">
        <f t="array" ref="D169">_xlfn.LET(
  _xlpm.text, B169,
  _xlpm.keywords, Category!$A$1:$A$100,
  _xlpm.matches, _xlfn._xlws.FILTER(_xlpm.keywords, ISNUMBER(SEARCH(_xlpm.keywords, _xlpm.text))),
  IF(COUNTA(_xlpm.matches) &gt; 0, INDEX(_xlpm.matches, 1), "")
)</f>
        <v>EliteBook</v>
      </c>
      <c r="E169" t="str" cm="1">
        <f t="array" ref="E169">_xlfn.LET(
  _xlpm.text, " " &amp; B169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69" t="str">
        <f t="shared" si="2"/>
        <v>https://www8.hp.com/h20195/v2/GetDocument.aspx?docname=c09097610</v>
      </c>
    </row>
    <row r="170" spans="1:7" x14ac:dyDescent="0.25">
      <c r="A170" t="s">
        <v>371</v>
      </c>
      <c r="B170" t="s">
        <v>372</v>
      </c>
      <c r="C170" t="str" cm="1">
        <f t="array" ref="C170">_xlfn.LET(
  _xlpm.text, B170,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70" t="str" cm="1">
        <f t="array" ref="D170">_xlfn.LET(
  _xlpm.text, B170,
  _xlpm.keywords, Category!$A$1:$A$100,
  _xlpm.matches, _xlfn._xlws.FILTER(_xlpm.keywords, ISNUMBER(SEARCH(_xlpm.keywords, _xlpm.text))),
  IF(COUNTA(_xlpm.matches) &gt; 0, INDEX(_xlpm.matches, 1), "")
)</f>
        <v>EliteBook</v>
      </c>
      <c r="E170" t="s">
        <v>358</v>
      </c>
      <c r="G170" t="str">
        <f t="shared" si="2"/>
        <v>https://www8.hp.com/h20195/v2/GetDocument.aspx?docname=c09118365</v>
      </c>
    </row>
    <row r="171" spans="1:7" x14ac:dyDescent="0.25">
      <c r="A171" t="s">
        <v>373</v>
      </c>
      <c r="B171" t="s">
        <v>374</v>
      </c>
      <c r="C171" t="str" cm="1">
        <f t="array" ref="C171">_xlfn.LET(
  _xlpm.text, B171,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71" t="str" cm="1">
        <f t="array" ref="D171">_xlfn.LET(
  _xlpm.text, B171,
  _xlpm.keywords, Category!$A$1:$A$100,
  _xlpm.matches, _xlfn._xlws.FILTER(_xlpm.keywords, ISNUMBER(SEARCH(_xlpm.keywords, _xlpm.text))),
  IF(COUNTA(_xlpm.matches) &gt; 0, INDEX(_xlpm.matches, 1), "")
)</f>
        <v>EliteBook</v>
      </c>
      <c r="E171" t="s">
        <v>358</v>
      </c>
      <c r="G171" t="str">
        <f t="shared" si="2"/>
        <v>https://www8.hp.com/h20195/v2/GetDocument.aspx?docname=c09118366</v>
      </c>
    </row>
    <row r="172" spans="1:7" x14ac:dyDescent="0.25">
      <c r="A172" t="s">
        <v>375</v>
      </c>
      <c r="B172" t="s">
        <v>376</v>
      </c>
      <c r="C172" t="str" cm="1">
        <f t="array" ref="C172">_xlfn.LET(
  _xlpm.text, B172,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72" t="str" cm="1">
        <f t="array" ref="D172">_xlfn.LET(
  _xlpm.text, B172,
  _xlpm.keywords, Category!$A$1:$A$100,
  _xlpm.matches, _xlfn._xlws.FILTER(_xlpm.keywords, ISNUMBER(SEARCH(_xlpm.keywords, _xlpm.text))),
  IF(COUNTA(_xlpm.matches) &gt; 0, INDEX(_xlpm.matches, 1), "")
)</f>
        <v>ZBook</v>
      </c>
      <c r="E172" t="str" cm="1">
        <f t="array" ref="E172">_xlfn.LET(
  _xlpm.text, " " &amp; B172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72" t="str">
        <f t="shared" si="2"/>
        <v>https://www8.hp.com/h20195/v2/GetDocument.aspx?docname=c09153573</v>
      </c>
    </row>
    <row r="173" spans="1:7" x14ac:dyDescent="0.25">
      <c r="A173" t="s">
        <v>377</v>
      </c>
      <c r="B173" t="s">
        <v>378</v>
      </c>
      <c r="C173" t="str" cm="1">
        <f t="array" ref="C173">_xlfn.LET(
  _xlpm.text, B173,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73" t="str" cm="1">
        <f t="array" ref="D173">_xlfn.LET(
  _xlpm.text, B173,
  _xlpm.keywords, Category!$A$1:$A$100,
  _xlpm.matches, _xlfn._xlws.FILTER(_xlpm.keywords, ISNUMBER(SEARCH(_xlpm.keywords, _xlpm.text))),
  IF(COUNTA(_xlpm.matches) &gt; 0, INDEX(_xlpm.matches, 1), "")
)</f>
        <v>ZBook</v>
      </c>
      <c r="E173" t="str" cm="1">
        <f t="array" ref="E173">_xlfn.LET(
  _xlpm.text, " " &amp; B173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73" t="str">
        <f t="shared" si="2"/>
        <v>https://www8.hp.com/h20195/v2/GetDocument.aspx?docname=c09153574</v>
      </c>
    </row>
    <row r="174" spans="1:7" x14ac:dyDescent="0.25">
      <c r="A174" t="s">
        <v>379</v>
      </c>
      <c r="B174" t="s">
        <v>380</v>
      </c>
      <c r="C174" t="str" cm="1">
        <f t="array" ref="C174">_xlfn.LET(
  _xlpm.text, B174,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174" t="str" cm="1">
        <f t="array" ref="D174">_xlfn.LET(
  _xlpm.text, B174,
  _xlpm.keywords, Category!$A$1:$A$100,
  _xlpm.matches, _xlfn._xlws.FILTER(_xlpm.keywords, ISNUMBER(SEARCH(_xlpm.keywords, _xlpm.text))),
  IF(COUNTA(_xlpm.matches) &gt; 0, INDEX(_xlpm.matches, 1), "")
)</f>
        <v>Engage</v>
      </c>
      <c r="E174" t="str" cm="1">
        <f t="array" ref="E174">_xlfn.LET(
  _xlpm.text, " " &amp; B174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74" t="str">
        <f t="shared" si="2"/>
        <v>https://www8.hp.com/h20195/v2/GetDocument.aspx?docname=c06986242</v>
      </c>
    </row>
    <row r="175" spans="1:7" x14ac:dyDescent="0.25">
      <c r="A175" t="s">
        <v>381</v>
      </c>
      <c r="B175" t="s">
        <v>382</v>
      </c>
      <c r="C175" t="str" cm="1">
        <f t="array" ref="C175">_xlfn.LET(
  _xlpm.text, B175,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75" t="str" cm="1">
        <f t="array" ref="D175">_xlfn.LET(
  _xlpm.text, B175,
  _xlpm.keywords, Category!$A$1:$A$100,
  _xlpm.matches, _xlfn._xlws.FILTER(_xlpm.keywords, ISNUMBER(SEARCH(_xlpm.keywords, _xlpm.text))),
  IF(COUNTA(_xlpm.matches) &gt; 0, INDEX(_xlpm.matches, 1), "")
)</f>
        <v>ProBook</v>
      </c>
      <c r="E175" t="str" cm="1">
        <f t="array" ref="E175">_xlfn.LET(
  _xlpm.text, " " &amp; B175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175" t="str">
        <f t="shared" si="2"/>
        <v>https://www8.hp.com/h20195/v2/GetDocument.aspx?docname=c08433426</v>
      </c>
    </row>
    <row r="176" spans="1:7" x14ac:dyDescent="0.25">
      <c r="A176" t="s">
        <v>383</v>
      </c>
      <c r="B176" t="s">
        <v>384</v>
      </c>
      <c r="C176" t="str" cm="1">
        <f t="array" ref="C176">_xlfn.LET(
  _xlpm.text, B176,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76" t="str" cm="1">
        <f t="array" ref="D176">_xlfn.LET(
  _xlpm.text, B176,
  _xlpm.keywords, Category!$A$1:$A$100,
  _xlpm.matches, _xlfn._xlws.FILTER(_xlpm.keywords, ISNUMBER(SEARCH(_xlpm.keywords, _xlpm.text))),
  IF(COUNTA(_xlpm.matches) &gt; 0, INDEX(_xlpm.matches, 1), "")
)</f>
        <v>ProBook</v>
      </c>
      <c r="E176" t="str" cm="1">
        <f t="array" ref="E176">_xlfn.LET(
  _xlpm.text, " " &amp; B176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176" t="str">
        <f t="shared" si="2"/>
        <v>https://www8.hp.com/h20195/v2/GetDocument.aspx?docname=c08908497</v>
      </c>
    </row>
    <row r="177" spans="1:7" x14ac:dyDescent="0.25">
      <c r="A177" t="s">
        <v>385</v>
      </c>
      <c r="B177" t="s">
        <v>386</v>
      </c>
      <c r="C177" t="str" cm="1">
        <f t="array" ref="C177">_xlfn.LET(
  _xlpm.text, B177,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77" t="s">
        <v>1151</v>
      </c>
      <c r="G177" t="str">
        <f t="shared" si="2"/>
        <v>https://www8.hp.com/h20195/v2/GetDocument.aspx?docname=c08244682</v>
      </c>
    </row>
    <row r="178" spans="1:7" x14ac:dyDescent="0.25">
      <c r="A178" t="s">
        <v>387</v>
      </c>
      <c r="B178" t="s">
        <v>388</v>
      </c>
      <c r="C178" t="str" cm="1">
        <f t="array" ref="C178">_xlfn.LET(
  _xlpm.text, B178,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78" t="str" cm="1">
        <f t="array" ref="D178">_xlfn.LET(
  _xlpm.text, B178,
  _xlpm.keywords, Category!$A$1:$A$100,
  _xlpm.matches, _xlfn._xlws.FILTER(_xlpm.keywords, ISNUMBER(SEARCH(_xlpm.keywords, _xlpm.text))),
  IF(COUNTA(_xlpm.matches) &gt; 0, INDEX(_xlpm.matches, 1), "")
)</f>
        <v>EliteBook</v>
      </c>
      <c r="E178" t="str" cm="1">
        <f t="array" ref="E178">_xlfn.LET(
  _xlpm.text, " " &amp; B178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178" t="str">
        <f t="shared" si="2"/>
        <v>https://www8.hp.com/h20195/v2/GetDocument.aspx?docname=c09064416</v>
      </c>
    </row>
    <row r="179" spans="1:7" x14ac:dyDescent="0.25">
      <c r="A179" t="s">
        <v>389</v>
      </c>
      <c r="B179" t="s">
        <v>390</v>
      </c>
      <c r="C179" t="str" cm="1">
        <f t="array" ref="C179">_xlfn.LET(
  _xlpm.text, B179,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79" t="str" cm="1">
        <f t="array" ref="D179">_xlfn.LET(
  _xlpm.text, B179,
  _xlpm.keywords, Category!$A$1:$A$100,
  _xlpm.matches, _xlfn._xlws.FILTER(_xlpm.keywords, ISNUMBER(SEARCH(_xlpm.keywords, _xlpm.text))),
  IF(COUNTA(_xlpm.matches) &gt; 0, INDEX(_xlpm.matches, 1), "")
)</f>
        <v>Thin Client</v>
      </c>
      <c r="E179" t="str" cm="1">
        <f t="array" ref="E179">_xlfn.LET(
  _xlpm.text, " " &amp; B179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79" t="str">
        <f t="shared" si="2"/>
        <v>https://www8.hp.com/h20195/v2/GetDocument.aspx?docname=c08327446</v>
      </c>
    </row>
    <row r="180" spans="1:7" x14ac:dyDescent="0.25">
      <c r="A180" t="s">
        <v>391</v>
      </c>
      <c r="B180" t="s">
        <v>392</v>
      </c>
      <c r="C180" t="str" cm="1">
        <f t="array" ref="C180">_xlfn.LET(
  _xlpm.text, B180,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180" t="s">
        <v>1153</v>
      </c>
      <c r="E180" t="str" cm="1">
        <f t="array" ref="E180">_xlfn.LET(
  _xlpm.text, " " &amp; B180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180" t="str">
        <f t="shared" si="2"/>
        <v>https://www8.hp.com/h20195/v2/GetDocument.aspx?docname=c09121528</v>
      </c>
    </row>
    <row r="181" spans="1:7" x14ac:dyDescent="0.25">
      <c r="A181" t="s">
        <v>393</v>
      </c>
      <c r="B181" t="s">
        <v>394</v>
      </c>
      <c r="C181" t="str" cm="1">
        <f t="array" ref="C181">_xlfn.LET(
  _xlpm.text, B181,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81" t="str" cm="1">
        <f t="array" ref="D181">_xlfn.LET(
  _xlpm.text, B181,
  _xlpm.keywords, Category!$A$1:$A$100,
  _xlpm.matches, _xlfn._xlws.FILTER(_xlpm.keywords, ISNUMBER(SEARCH(_xlpm.keywords, _xlpm.text))),
  IF(COUNTA(_xlpm.matches) &gt; 0, INDEX(_xlpm.matches, 1), "")
)</f>
        <v>EliteBook</v>
      </c>
      <c r="E181" t="str" cm="1">
        <f t="array" ref="E181">_xlfn.LET(
  _xlpm.text, " " &amp; B181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181" t="str">
        <f t="shared" si="2"/>
        <v>https://www8.hp.com/h20195/v2/GetDocument.aspx?docname=c09120200</v>
      </c>
    </row>
    <row r="182" spans="1:7" x14ac:dyDescent="0.25">
      <c r="A182" t="s">
        <v>395</v>
      </c>
      <c r="B182" t="s">
        <v>396</v>
      </c>
      <c r="C182" t="str" cm="1">
        <f t="array" ref="C182">_xlfn.LET(
  _xlpm.text, B182,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82" t="str" cm="1">
        <f t="array" ref="D182">_xlfn.LET(
  _xlpm.text, B182,
  _xlpm.keywords, Category!$A$1:$A$100,
  _xlpm.matches, _xlfn._xlws.FILTER(_xlpm.keywords, ISNUMBER(SEARCH(_xlpm.keywords, _xlpm.text))),
  IF(COUNTA(_xlpm.matches) &gt; 0, INDEX(_xlpm.matches, 1), "")
)</f>
        <v>EliteBook</v>
      </c>
      <c r="E182" t="str" cm="1">
        <f t="array" ref="E182">_xlfn.LET(
  _xlpm.text, " " &amp; B182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182" t="str">
        <f t="shared" si="2"/>
        <v>https://www8.hp.com/h20195/v2/GetDocument.aspx?docname=c09120201</v>
      </c>
    </row>
    <row r="183" spans="1:7" x14ac:dyDescent="0.25">
      <c r="A183" t="s">
        <v>397</v>
      </c>
      <c r="B183" t="s">
        <v>398</v>
      </c>
      <c r="C183" t="s">
        <v>156</v>
      </c>
      <c r="D183" t="s">
        <v>145</v>
      </c>
      <c r="E183" t="str" cm="1">
        <f t="array" ref="E183">_xlfn.LET(
  _xlpm.text, " " &amp; B183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83" t="str">
        <f t="shared" si="2"/>
        <v>https://www8.hp.com/h20195/v2/GetDocument.aspx?docname=c04964757</v>
      </c>
    </row>
    <row r="184" spans="1:7" x14ac:dyDescent="0.25">
      <c r="A184" t="s">
        <v>399</v>
      </c>
      <c r="B184" t="s">
        <v>400</v>
      </c>
      <c r="C184" t="str" cm="1">
        <f t="array" ref="C184">_xlfn.LET(
  _xlpm.text, B184,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184" t="s">
        <v>78</v>
      </c>
      <c r="E184" t="str" cm="1">
        <f t="array" ref="E184">_xlfn.LET(
  _xlpm.text, " " &amp; B184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84" t="s">
        <v>9</v>
      </c>
      <c r="G184" t="str">
        <f t="shared" si="2"/>
        <v>https://www8.hp.com/h20195/v2/GetDocument.aspx?docname=c06207719</v>
      </c>
    </row>
    <row r="185" spans="1:7" x14ac:dyDescent="0.25">
      <c r="A185" t="s">
        <v>401</v>
      </c>
      <c r="B185" t="s">
        <v>402</v>
      </c>
      <c r="C185" t="s">
        <v>20</v>
      </c>
      <c r="D185" t="s">
        <v>21</v>
      </c>
      <c r="E185" t="str" cm="1">
        <f t="array" ref="E185">_xlfn.LET(
  _xlpm.text, " " &amp; B185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185" t="str">
        <f t="shared" si="2"/>
        <v>https://www8.hp.com/h20195/v2/GetDocument.aspx?docname=c05854828</v>
      </c>
    </row>
    <row r="186" spans="1:7" x14ac:dyDescent="0.25">
      <c r="A186" t="s">
        <v>403</v>
      </c>
      <c r="B186" t="s">
        <v>404</v>
      </c>
      <c r="C186" t="s">
        <v>59</v>
      </c>
      <c r="D186" t="s">
        <v>47</v>
      </c>
      <c r="G186" t="str">
        <f t="shared" si="2"/>
        <v>https://www8.hp.com/h20195/v2/GetDocument.aspx?docname=c08219445</v>
      </c>
    </row>
    <row r="187" spans="1:7" x14ac:dyDescent="0.25">
      <c r="A187" t="s">
        <v>405</v>
      </c>
      <c r="B187" t="s">
        <v>406</v>
      </c>
      <c r="C187" t="str" cm="1">
        <f t="array" ref="C187">_xlfn.LET(
  _xlpm.text, B187,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87" t="str" cm="1">
        <f t="array" ref="D187">_xlfn.LET(
  _xlpm.text, B187,
  _xlpm.keywords, Category!$A$1:$A$100,
  _xlpm.matches, _xlfn._xlws.FILTER(_xlpm.keywords, ISNUMBER(SEARCH(_xlpm.keywords, _xlpm.text))),
  IF(COUNTA(_xlpm.matches) &gt; 0, INDEX(_xlpm.matches, 1), "")
)</f>
        <v>ChromeBook</v>
      </c>
      <c r="E187" t="str" cm="1">
        <f t="array" ref="E187">_xlfn.LET(
  _xlpm.text, " " &amp; B187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187" t="s">
        <v>9</v>
      </c>
      <c r="G187" t="str">
        <f t="shared" si="2"/>
        <v>https://www8.hp.com/h20195/v2/GetDocument.aspx?docname=c07026077</v>
      </c>
    </row>
    <row r="188" spans="1:7" x14ac:dyDescent="0.25">
      <c r="A188" t="s">
        <v>407</v>
      </c>
      <c r="B188" t="s">
        <v>408</v>
      </c>
      <c r="C188" t="str" cm="1">
        <f t="array" ref="C188">_xlfn.LET(
  _xlpm.text, B188,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88" t="str" cm="1">
        <f t="array" ref="D188">_xlfn.LET(
  _xlpm.text, B188,
  _xlpm.keywords, Category!$A$1:$A$100,
  _xlpm.matches, _xlfn._xlws.FILTER(_xlpm.keywords, ISNUMBER(SEARCH(_xlpm.keywords, _xlpm.text))),
  IF(COUNTA(_xlpm.matches) &gt; 0, INDEX(_xlpm.matches, 1), "")
)</f>
        <v>Thin Client</v>
      </c>
      <c r="E188" t="str" cm="1">
        <f t="array" ref="E188">_xlfn.LET(
  _xlpm.text, " " &amp; B188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88" t="str">
        <f t="shared" si="2"/>
        <v>https://www8.hp.com/h20195/v2/GetDocument.aspx?docname=c05466011</v>
      </c>
    </row>
    <row r="189" spans="1:7" x14ac:dyDescent="0.25">
      <c r="A189" t="s">
        <v>409</v>
      </c>
      <c r="B189" t="s">
        <v>410</v>
      </c>
      <c r="C189" t="str" cm="1">
        <f t="array" ref="C189">_xlfn.LET(
  _xlpm.text, B189,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189" t="str" cm="1">
        <f t="array" ref="D189">_xlfn.LET(
  _xlpm.text, B189,
  _xlpm.keywords, Category!$A$1:$A$100,
  _xlpm.matches, _xlfn._xlws.FILTER(_xlpm.keywords, ISNUMBER(SEARCH(_xlpm.keywords, _xlpm.text))),
  IF(COUNTA(_xlpm.matches) &gt; 0, INDEX(_xlpm.matches, 1), "")
)</f>
        <v>EliteBook</v>
      </c>
      <c r="E189" t="str" cm="1">
        <f t="array" ref="E189">_xlfn.LET(
  _xlpm.text, " " &amp; B189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189" t="s">
        <v>9</v>
      </c>
      <c r="G189" t="str">
        <f t="shared" si="2"/>
        <v>https://www8.hp.com/h20195/v2/GetDocument.aspx?docname=c04802443</v>
      </c>
    </row>
    <row r="190" spans="1:7" x14ac:dyDescent="0.25">
      <c r="A190" t="s">
        <v>411</v>
      </c>
      <c r="B190" t="s">
        <v>412</v>
      </c>
      <c r="C190" t="str" cm="1">
        <f t="array" ref="C190">_xlfn.LET(
  _xlpm.text, B190,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190" t="s">
        <v>1151</v>
      </c>
      <c r="E190" t="str" cm="1">
        <f t="array" ref="E190">_xlfn.LET(
  _xlpm.text, " " &amp; B190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190" t="str">
        <f t="shared" si="2"/>
        <v>https://www8.hp.com/h20195/v2/GetDocument.aspx?docname=c06527241</v>
      </c>
    </row>
    <row r="191" spans="1:7" x14ac:dyDescent="0.25">
      <c r="A191" t="s">
        <v>413</v>
      </c>
      <c r="B191" t="s">
        <v>414</v>
      </c>
      <c r="C191" t="str" cm="1">
        <f t="array" ref="C191">_xlfn.LET(
  _xlpm.text, B191,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91" t="s">
        <v>47</v>
      </c>
      <c r="E191" t="str" cm="1">
        <f t="array" ref="E191">_xlfn.LET(
  _xlpm.text, " " &amp; B191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91" t="s">
        <v>9</v>
      </c>
      <c r="G191" t="str">
        <f t="shared" si="2"/>
        <v>https://www8.hp.com/h20195/v2/GetDocument.aspx?docname=c07713009</v>
      </c>
    </row>
    <row r="192" spans="1:7" x14ac:dyDescent="0.25">
      <c r="A192" t="s">
        <v>415</v>
      </c>
      <c r="B192" t="s">
        <v>416</v>
      </c>
      <c r="C192" t="s">
        <v>41</v>
      </c>
      <c r="D192" t="s">
        <v>47</v>
      </c>
      <c r="E192" t="str" cm="1">
        <f t="array" ref="E192">_xlfn.LET(
  _xlpm.text, " " &amp; B192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92" t="s">
        <v>9</v>
      </c>
      <c r="G192" t="str">
        <f t="shared" si="2"/>
        <v>https://www8.hp.com/h20195/v2/GetDocument.aspx?docname=c04337549</v>
      </c>
    </row>
    <row r="193" spans="1:7" x14ac:dyDescent="0.25">
      <c r="A193" t="s">
        <v>417</v>
      </c>
      <c r="B193" t="s">
        <v>418</v>
      </c>
      <c r="C193" t="s">
        <v>20</v>
      </c>
      <c r="D193" t="s">
        <v>56</v>
      </c>
      <c r="E193" t="str" cm="1">
        <f t="array" ref="E193">_xlfn.LET(
  _xlpm.text, " " &amp; B193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193" t="str">
        <f t="shared" si="2"/>
        <v>https://www8.hp.com/h20195/v2/GetDocument.aspx?docname=c06269802</v>
      </c>
    </row>
    <row r="194" spans="1:7" x14ac:dyDescent="0.25">
      <c r="A194" t="s">
        <v>419</v>
      </c>
      <c r="B194" t="s">
        <v>420</v>
      </c>
      <c r="C194" t="str" cm="1">
        <f t="array" ref="C194">_xlfn.LET(
  _xlpm.text, B194,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94" t="str" cm="1">
        <f t="array" ref="D194">_xlfn.LET(
  _xlpm.text, B194,
  _xlpm.keywords, Category!$A$1:$A$100,
  _xlpm.matches, _xlfn._xlws.FILTER(_xlpm.keywords, ISNUMBER(SEARCH(_xlpm.keywords, _xlpm.text))),
  IF(COUNTA(_xlpm.matches) &gt; 0, INDEX(_xlpm.matches, 1), "")
)</f>
        <v>ZBook</v>
      </c>
      <c r="E194" t="str" cm="1">
        <f t="array" ref="E194">_xlfn.LET(
  _xlpm.text, " " &amp; B194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194" t="str">
        <f t="shared" ref="G194:G256" si="3">_xlfn.CONCAT("https://www8.hp.com/h20195/v2/GetDocument.aspx?docname=",A194)</f>
        <v>https://www8.hp.com/h20195/v2/GetDocument.aspx?docname=c06710184</v>
      </c>
    </row>
    <row r="195" spans="1:7" x14ac:dyDescent="0.25">
      <c r="A195" t="s">
        <v>421</v>
      </c>
      <c r="B195" t="s">
        <v>422</v>
      </c>
      <c r="C195" t="str" cm="1">
        <f t="array" ref="C195">_xlfn.LET(
  _xlpm.text, B195,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95" t="s">
        <v>85</v>
      </c>
      <c r="E195" t="str" cm="1">
        <f t="array" ref="E195">_xlfn.LET(
  _xlpm.text, " " &amp; B195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195" t="str">
        <f t="shared" si="3"/>
        <v>https://www8.hp.com/h20195/v2/GetDocument.aspx?docname=c08423198</v>
      </c>
    </row>
    <row r="196" spans="1:7" x14ac:dyDescent="0.25">
      <c r="A196" t="s">
        <v>423</v>
      </c>
      <c r="B196" t="s">
        <v>424</v>
      </c>
      <c r="C196" t="s">
        <v>59</v>
      </c>
      <c r="D196" t="s">
        <v>47</v>
      </c>
      <c r="E196" t="str" cm="1">
        <f t="array" ref="E196">_xlfn.LET(
  _xlpm.text, " " &amp; B196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96" t="s">
        <v>9</v>
      </c>
      <c r="G196" t="str">
        <f t="shared" si="3"/>
        <v>https://www8.hp.com/h20195/v2/GetDocument.aspx?docname=c04318044</v>
      </c>
    </row>
    <row r="197" spans="1:7" x14ac:dyDescent="0.25">
      <c r="A197" t="s">
        <v>425</v>
      </c>
      <c r="B197" t="s">
        <v>426</v>
      </c>
      <c r="C197" t="str" cm="1">
        <f t="array" ref="C197">_xlfn.LET(
  _xlpm.text, B197,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197" t="s">
        <v>47</v>
      </c>
      <c r="E197" t="str" cm="1">
        <f t="array" ref="E197">_xlfn.LET(
  _xlpm.text, " " &amp; B197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197" t="s">
        <v>9</v>
      </c>
      <c r="G197" t="str">
        <f t="shared" si="3"/>
        <v>https://www8.hp.com/h20195/v2/GetDocument.aspx?docname=c04111599</v>
      </c>
    </row>
    <row r="198" spans="1:7" x14ac:dyDescent="0.25">
      <c r="A198" t="s">
        <v>427</v>
      </c>
      <c r="B198" t="s">
        <v>428</v>
      </c>
      <c r="C198" t="str" cm="1">
        <f t="array" ref="C198">_xlfn.LET(
  _xlpm.text, B198,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198" t="str" cm="1">
        <f t="array" ref="D198">_xlfn.LET(
  _xlpm.text, B198,
  _xlpm.keywords, Category!$A$1:$A$100,
  _xlpm.matches, _xlfn._xlws.FILTER(_xlpm.keywords, ISNUMBER(SEARCH(_xlpm.keywords, _xlpm.text))),
  IF(COUNTA(_xlpm.matches) &gt; 0, INDEX(_xlpm.matches, 1), "")
)</f>
        <v>ZBook</v>
      </c>
      <c r="E198" t="str" cm="1">
        <f t="array" ref="E198">_xlfn.LET(
  _xlpm.text, " " &amp; B198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198" t="str">
        <f t="shared" si="3"/>
        <v>https://www8.hp.com/h20195/v2/GetDocument.aspx?docname=c06914244</v>
      </c>
    </row>
    <row r="199" spans="1:7" x14ac:dyDescent="0.25">
      <c r="A199" t="s">
        <v>429</v>
      </c>
      <c r="B199" t="s">
        <v>430</v>
      </c>
      <c r="C199" t="s">
        <v>41</v>
      </c>
      <c r="D199" t="s">
        <v>42</v>
      </c>
      <c r="E199" t="str" cm="1">
        <f t="array" ref="E199">_xlfn.LET(
  _xlpm.text, " " &amp; B199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199" t="str">
        <f t="shared" si="3"/>
        <v>https://www8.hp.com/h20195/v2/GetDocument.aspx?docname=c08081408</v>
      </c>
    </row>
    <row r="200" spans="1:7" x14ac:dyDescent="0.25">
      <c r="A200" t="s">
        <v>431</v>
      </c>
      <c r="B200" t="s">
        <v>432</v>
      </c>
      <c r="C200" t="str" cm="1">
        <f t="array" ref="C200">_xlfn.LET(
  _xlpm.text, B200,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00" t="s">
        <v>28</v>
      </c>
      <c r="E200" t="str" cm="1">
        <f t="array" ref="E200">_xlfn.LET(
  _xlpm.text, " " &amp; B200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00" t="str">
        <f t="shared" si="3"/>
        <v>https://www8.hp.com/h20195/v2/GetDocument.aspx?docname=c08754941</v>
      </c>
    </row>
    <row r="201" spans="1:7" x14ac:dyDescent="0.25">
      <c r="A201" t="s">
        <v>433</v>
      </c>
      <c r="B201" t="s">
        <v>434</v>
      </c>
      <c r="C201" t="str" cm="1">
        <f t="array" ref="C201">_xlfn.LET(
  _xlpm.text, B201,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01" t="str" cm="1">
        <f t="array" ref="D201">_xlfn.LET(
  _xlpm.text, B201,
  _xlpm.keywords, Category!$A$1:$A$100,
  _xlpm.matches, _xlfn._xlws.FILTER(_xlpm.keywords, ISNUMBER(SEARCH(_xlpm.keywords, _xlpm.text))),
  IF(COUNTA(_xlpm.matches) &gt; 0, INDEX(_xlpm.matches, 1), "")
)</f>
        <v>ChromeBook</v>
      </c>
      <c r="E201" t="str" cm="1">
        <f t="array" ref="E201">_xlfn.LET(
  _xlpm.text, " " &amp; B201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01" t="str">
        <f t="shared" si="3"/>
        <v>https://www8.hp.com/h20195/v2/GetDocument.aspx?docname=c07735356</v>
      </c>
    </row>
    <row r="202" spans="1:7" x14ac:dyDescent="0.25">
      <c r="A202" t="s">
        <v>435</v>
      </c>
      <c r="B202" t="s">
        <v>436</v>
      </c>
      <c r="C202" t="str" cm="1">
        <f t="array" ref="C202">_xlfn.LET(
  _xlpm.text, B202,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02" t="str" cm="1">
        <f t="array" ref="D202">_xlfn.LET(
  _xlpm.text, B202,
  _xlpm.keywords, Category!$A$1:$A$100,
  _xlpm.matches, _xlfn._xlws.FILTER(_xlpm.keywords, ISNUMBER(SEARCH(_xlpm.keywords, _xlpm.text))),
  IF(COUNTA(_xlpm.matches) &gt; 0, INDEX(_xlpm.matches, 1), "")
)</f>
        <v>ChromeBook</v>
      </c>
      <c r="E202" t="str" cm="1">
        <f t="array" ref="E202">_xlfn.LET(
  _xlpm.text, " " &amp; B202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F202" t="s">
        <v>9</v>
      </c>
      <c r="G202" t="str">
        <f t="shared" si="3"/>
        <v>https://www8.hp.com/h20195/v2/GetDocument.aspx?docname=c06978062</v>
      </c>
    </row>
    <row r="203" spans="1:7" x14ac:dyDescent="0.25">
      <c r="A203" t="s">
        <v>437</v>
      </c>
      <c r="B203" t="s">
        <v>438</v>
      </c>
      <c r="C203" t="str" cm="1">
        <f t="array" ref="C203">_xlfn.LET(
  _xlpm.text, B203,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03" t="str" cm="1">
        <f t="array" ref="D203">_xlfn.LET(
  _xlpm.text, B203,
  _xlpm.keywords, Category!$A$1:$A$100,
  _xlpm.matches, _xlfn._xlws.FILTER(_xlpm.keywords, ISNUMBER(SEARCH(_xlpm.keywords, _xlpm.text))),
  IF(COUNTA(_xlpm.matches) &gt; 0, INDEX(_xlpm.matches, 1), "")
)</f>
        <v>Printer</v>
      </c>
      <c r="E203" t="str" cm="1">
        <f t="array" ref="E203">_xlfn.LET(
  _xlpm.text, " " &amp; B203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03" t="str">
        <f t="shared" si="3"/>
        <v>https://www8.hp.com/h20195/v2/GetDocument.aspx?docname=c07830744</v>
      </c>
    </row>
    <row r="204" spans="1:7" x14ac:dyDescent="0.25">
      <c r="A204" t="s">
        <v>439</v>
      </c>
      <c r="B204" t="s">
        <v>440</v>
      </c>
      <c r="C204" t="str" cm="1">
        <f t="array" ref="C204">_xlfn.LET(
  _xlpm.text, B204,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04" t="str" cm="1">
        <f t="array" ref="D204">_xlfn.LET(
  _xlpm.text, B204,
  _xlpm.keywords, Category!$A$1:$A$100,
  _xlpm.matches, _xlfn._xlws.FILTER(_xlpm.keywords, ISNUMBER(SEARCH(_xlpm.keywords, _xlpm.text))),
  IF(COUNTA(_xlpm.matches) &gt; 0, INDEX(_xlpm.matches, 1), "")
)</f>
        <v>Printer</v>
      </c>
      <c r="E204" t="str" cm="1">
        <f t="array" ref="E204">_xlfn.LET(
  _xlpm.text, " " &amp; B204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04" t="str">
        <f t="shared" si="3"/>
        <v>https://www8.hp.com/h20195/v2/GetDocument.aspx?docname=c06431185</v>
      </c>
    </row>
    <row r="205" spans="1:7" x14ac:dyDescent="0.25">
      <c r="A205" t="s">
        <v>441</v>
      </c>
      <c r="B205" t="s">
        <v>442</v>
      </c>
      <c r="C205" t="str" cm="1">
        <f t="array" ref="C205">_xlfn.LET(
  _xlpm.text, B205,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05" t="s">
        <v>47</v>
      </c>
      <c r="E205" t="str" cm="1">
        <f t="array" ref="E205">_xlfn.LET(
  _xlpm.text, " " &amp; B205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05" t="str">
        <f t="shared" si="3"/>
        <v>https://www8.hp.com/h20195/v2/GetDocument.aspx?docname=c06721772</v>
      </c>
    </row>
    <row r="206" spans="1:7" x14ac:dyDescent="0.25">
      <c r="A206" t="s">
        <v>443</v>
      </c>
      <c r="B206" t="s">
        <v>444</v>
      </c>
      <c r="C206" t="str" cm="1">
        <f t="array" ref="C206">_xlfn.LET(
  _xlpm.text, B206,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06" t="s">
        <v>75</v>
      </c>
      <c r="E206" t="str" cm="1">
        <f t="array" ref="E206">_xlfn.LET(
  _xlpm.text, " " &amp; B206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06" t="str">
        <f t="shared" si="3"/>
        <v>https://www8.hp.com/h20195/v2/GetDocument.aspx?docname=c06724393</v>
      </c>
    </row>
    <row r="207" spans="1:7" x14ac:dyDescent="0.25">
      <c r="A207" t="s">
        <v>445</v>
      </c>
      <c r="B207" t="s">
        <v>446</v>
      </c>
      <c r="C207" t="str" cm="1">
        <f t="array" ref="C207">_xlfn.LET(
  _xlpm.text, B207,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207" t="s">
        <v>1159</v>
      </c>
      <c r="E207" t="str" cm="1">
        <f t="array" ref="E207">_xlfn.LET(
  _xlpm.text, " " &amp; B207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07" t="str">
        <f t="shared" si="3"/>
        <v>https://www8.hp.com/h20195/v2/GetDocument.aspx?docname=c06912216</v>
      </c>
    </row>
    <row r="208" spans="1:7" x14ac:dyDescent="0.25">
      <c r="A208" t="s">
        <v>447</v>
      </c>
      <c r="B208" t="s">
        <v>448</v>
      </c>
      <c r="C208" t="str" cm="1">
        <f t="array" ref="C208">_xlfn.LET(
  _xlpm.text, B208,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08" t="s">
        <v>21</v>
      </c>
      <c r="E208" t="str" cm="1">
        <f t="array" ref="E208">_xlfn.LET(
  _xlpm.text, " " &amp; B208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08" t="str">
        <f t="shared" si="3"/>
        <v>https://www8.hp.com/h20195/v2/GetDocument.aspx?docname=c06711625</v>
      </c>
    </row>
    <row r="209" spans="1:7" x14ac:dyDescent="0.25">
      <c r="A209" t="s">
        <v>449</v>
      </c>
      <c r="B209" t="s">
        <v>450</v>
      </c>
      <c r="C209" t="str" cm="1">
        <f t="array" ref="C209">_xlfn.LET(
  _xlpm.text, B209,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09" t="str" cm="1">
        <f t="array" ref="D209">_xlfn.LET(
  _xlpm.text, B209,
  _xlpm.keywords, Category!$A$1:$A$100,
  _xlpm.matches, _xlfn._xlws.FILTER(_xlpm.keywords, ISNUMBER(SEARCH(_xlpm.keywords, _xlpm.text))),
  IF(COUNTA(_xlpm.matches) &gt; 0, INDEX(_xlpm.matches, 1), "")
)</f>
        <v>Printer</v>
      </c>
      <c r="E209" t="str" cm="1">
        <f t="array" ref="E209">_xlfn.LET(
  _xlpm.text, " " &amp; B209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09" t="str">
        <f t="shared" si="3"/>
        <v>https://www8.hp.com/h20195/v2/GetDocument.aspx?docname=c07833061</v>
      </c>
    </row>
    <row r="210" spans="1:7" x14ac:dyDescent="0.25">
      <c r="A210" t="s">
        <v>451</v>
      </c>
      <c r="B210" t="s">
        <v>452</v>
      </c>
      <c r="C210" t="str" cm="1">
        <f t="array" ref="C210">_xlfn.LET(
  _xlpm.text, B210,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10" t="str" cm="1">
        <f t="array" ref="D210">_xlfn.LET(
  _xlpm.text, B210,
  _xlpm.keywords, Category!$A$1:$A$100,
  _xlpm.matches, _xlfn._xlws.FILTER(_xlpm.keywords, ISNUMBER(SEARCH(_xlpm.keywords, _xlpm.text))),
  IF(COUNTA(_xlpm.matches) &gt; 0, INDEX(_xlpm.matches, 1), "")
)</f>
        <v>Scanner</v>
      </c>
      <c r="E210" t="str" cm="1">
        <f t="array" ref="E210">_xlfn.LET(
  _xlpm.text, " " &amp; B210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10" t="str">
        <f t="shared" si="3"/>
        <v>https://www8.hp.com/h20195/v2/GetDocument.aspx?docname=c06500782</v>
      </c>
    </row>
    <row r="211" spans="1:7" x14ac:dyDescent="0.25">
      <c r="A211" t="s">
        <v>453</v>
      </c>
      <c r="B211" t="s">
        <v>454</v>
      </c>
      <c r="C211" t="str" cm="1">
        <f t="array" ref="C211">_xlfn.LET(
  _xlpm.text, B211,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11" t="s">
        <v>78</v>
      </c>
      <c r="E211" t="str" cm="1">
        <f t="array" ref="E211">_xlfn.LET(
  _xlpm.text, " " &amp; B211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11" t="str">
        <f t="shared" si="3"/>
        <v>https://www8.hp.com/h20195/v2/GetDocument.aspx?docname=c06506552</v>
      </c>
    </row>
    <row r="212" spans="1:7" x14ac:dyDescent="0.25">
      <c r="A212" t="s">
        <v>455</v>
      </c>
      <c r="B212" t="s">
        <v>456</v>
      </c>
      <c r="C212" t="s">
        <v>156</v>
      </c>
      <c r="D212" t="s">
        <v>145</v>
      </c>
      <c r="E212" t="str" cm="1">
        <f t="array" ref="E212">_xlfn.LET(
  _xlpm.text, " " &amp; B212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12" t="str">
        <f t="shared" si="3"/>
        <v>https://www8.hp.com/h20195/v2/GetDocument.aspx?docname=c04964352</v>
      </c>
    </row>
    <row r="213" spans="1:7" x14ac:dyDescent="0.25">
      <c r="A213" t="s">
        <v>457</v>
      </c>
      <c r="B213" t="s">
        <v>458</v>
      </c>
      <c r="C213" t="str" cm="1">
        <f t="array" ref="C213">_xlfn.LET(
  _xlpm.text, B213,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213" t="str" cm="1">
        <f t="array" ref="D213">_xlfn.LET(
  _xlpm.text, B213,
  _xlpm.keywords, Category!$A$1:$A$100,
  _xlpm.matches, _xlfn._xlws.FILTER(_xlpm.keywords, ISNUMBER(SEARCH(_xlpm.keywords, _xlpm.text))),
  IF(COUNTA(_xlpm.matches) &gt; 0, INDEX(_xlpm.matches, 1), "")
)</f>
        <v>Thin Client</v>
      </c>
      <c r="E213" t="str" cm="1">
        <f t="array" ref="E213">_xlfn.LET(
  _xlpm.text, " " &amp; B213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13" t="str">
        <f t="shared" si="3"/>
        <v>https://www8.hp.com/h20195/v2/GetDocument.aspx?docname=c06527271</v>
      </c>
    </row>
    <row r="214" spans="1:7" x14ac:dyDescent="0.25">
      <c r="A214" t="s">
        <v>459</v>
      </c>
      <c r="B214" t="s">
        <v>460</v>
      </c>
      <c r="C214" t="str" cm="1">
        <f t="array" ref="C214">_xlfn.LET(
  _xlpm.text, B214,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14" t="str" cm="1">
        <f t="array" ref="D214">_xlfn.LET(
  _xlpm.text, B214,
  _xlpm.keywords, Category!$A$1:$A$100,
  _xlpm.matches, _xlfn._xlws.FILTER(_xlpm.keywords, ISNUMBER(SEARCH(_xlpm.keywords, _xlpm.text))),
  IF(COUNTA(_xlpm.matches) &gt; 0, INDEX(_xlpm.matches, 1), "")
)</f>
        <v>EliteDesk</v>
      </c>
      <c r="E214" t="str" cm="1">
        <f t="array" ref="E214">_xlfn.LET(
  _xlpm.text, " " &amp; B214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14" t="str">
        <f t="shared" si="3"/>
        <v>https://www8.hp.com/h20195/v2/GetDocument.aspx?docname=c06320288</v>
      </c>
    </row>
    <row r="215" spans="1:7" x14ac:dyDescent="0.25">
      <c r="A215" t="s">
        <v>461</v>
      </c>
      <c r="B215" t="s">
        <v>462</v>
      </c>
      <c r="C215" t="str" cm="1">
        <f t="array" ref="C215">_xlfn.LET(
  _xlpm.text, B215,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15" t="s">
        <v>85</v>
      </c>
      <c r="E215" t="str" cm="1">
        <f t="array" ref="E215">_xlfn.LET(
  _xlpm.text, " " &amp; B215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15" t="str">
        <f t="shared" si="3"/>
        <v>https://www8.hp.com/h20195/v2/GetDocument.aspx?docname=c08423202</v>
      </c>
    </row>
    <row r="216" spans="1:7" x14ac:dyDescent="0.25">
      <c r="A216" t="s">
        <v>463</v>
      </c>
      <c r="B216" t="s">
        <v>464</v>
      </c>
      <c r="C216" t="str" cm="1">
        <f t="array" ref="C216">_xlfn.LET(
  _xlpm.text, B216,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16" t="str" cm="1">
        <f t="array" ref="D216">_xlfn.LET(
  _xlpm.text, B216,
  _xlpm.keywords, Category!$A$1:$A$100,
  _xlpm.matches, _xlfn._xlws.FILTER(_xlpm.keywords, ISNUMBER(SEARCH(_xlpm.keywords, _xlpm.text))),
  IF(COUNTA(_xlpm.matches) &gt; 0, INDEX(_xlpm.matches, 1), "")
)</f>
        <v>ChromeBook</v>
      </c>
      <c r="E216" t="str" cm="1">
        <f t="array" ref="E216">_xlfn.LET(
  _xlpm.text, " " &amp; B216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216" t="str">
        <f t="shared" si="3"/>
        <v>https://www8.hp.com/h20195/v2/GetDocument.aspx?docname=c08152870</v>
      </c>
    </row>
    <row r="217" spans="1:7" x14ac:dyDescent="0.25">
      <c r="A217" t="s">
        <v>465</v>
      </c>
      <c r="B217" t="s">
        <v>466</v>
      </c>
      <c r="C217" t="str" cm="1">
        <f t="array" ref="C217">_xlfn.LET(
  _xlpm.text, B217,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17" t="str" cm="1">
        <f t="array" ref="D217">_xlfn.LET(
  _xlpm.text, B217,
  _xlpm.keywords, Category!$A$1:$A$100,
  _xlpm.matches, _xlfn._xlws.FILTER(_xlpm.keywords, ISNUMBER(SEARCH(_xlpm.keywords, _xlpm.text))),
  IF(COUNTA(_xlpm.matches) &gt; 0, INDEX(_xlpm.matches, 1), "")
)</f>
        <v>ChromeBook</v>
      </c>
      <c r="E217" t="str" cm="1">
        <f t="array" ref="E217">_xlfn.LET(
  _xlpm.text, " " &amp; B217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217" t="str">
        <f t="shared" si="3"/>
        <v>https://www8.hp.com/h20195/v2/GetDocument.aspx?docname=c08152869</v>
      </c>
    </row>
    <row r="218" spans="1:7" x14ac:dyDescent="0.25">
      <c r="A218" t="s">
        <v>467</v>
      </c>
      <c r="B218" t="s">
        <v>468</v>
      </c>
      <c r="C218" t="str" cm="1">
        <f t="array" ref="C218">_xlfn.LET(
  _xlpm.text, B218,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18" t="str" cm="1">
        <f t="array" ref="D218">_xlfn.LET(
  _xlpm.text, B218,
  _xlpm.keywords, Category!$A$1:$A$100,
  _xlpm.matches, _xlfn._xlws.FILTER(_xlpm.keywords, ISNUMBER(SEARCH(_xlpm.keywords, _xlpm.text))),
  IF(COUNTA(_xlpm.matches) &gt; 0, INDEX(_xlpm.matches, 1), "")
)</f>
        <v>EliteBook</v>
      </c>
      <c r="E218" t="str" cm="1">
        <f t="array" ref="E218">_xlfn.LET(
  _xlpm.text, " " &amp; B218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18" t="str">
        <f t="shared" si="3"/>
        <v>https://www8.hp.com/h20195/v2/GetDocument.aspx?docname=c07959341</v>
      </c>
    </row>
    <row r="219" spans="1:7" x14ac:dyDescent="0.25">
      <c r="A219" t="s">
        <v>469</v>
      </c>
      <c r="B219" t="s">
        <v>470</v>
      </c>
      <c r="C219" t="str" cm="1">
        <f t="array" ref="C219">_xlfn.LET(
  _xlpm.text, B219,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19" t="str" cm="1">
        <f t="array" ref="D219">_xlfn.LET(
  _xlpm.text, B219,
  _xlpm.keywords, Category!$A$1:$A$100,
  _xlpm.matches, _xlfn._xlws.FILTER(_xlpm.keywords, ISNUMBER(SEARCH(_xlpm.keywords, _xlpm.text))),
  IF(COUNTA(_xlpm.matches) &gt; 0, INDEX(_xlpm.matches, 1), "")
)</f>
        <v>ZBook</v>
      </c>
      <c r="E219" t="str" cm="1">
        <f t="array" ref="E219">_xlfn.LET(
  _xlpm.text, " " &amp; B219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19" t="str">
        <f t="shared" si="3"/>
        <v>https://www8.hp.com/h20195/v2/GetDocument.aspx?docname=c07538091</v>
      </c>
    </row>
    <row r="220" spans="1:7" x14ac:dyDescent="0.25">
      <c r="A220" t="s">
        <v>471</v>
      </c>
      <c r="B220" t="s">
        <v>472</v>
      </c>
      <c r="C220" t="str" cm="1">
        <f t="array" ref="C220">_xlfn.LET(
  _xlpm.text, B220,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20" t="s">
        <v>75</v>
      </c>
      <c r="E220" t="str" cm="1">
        <f t="array" ref="E220">_xlfn.LET(
  _xlpm.text, " " &amp; B220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220" t="s">
        <v>9</v>
      </c>
      <c r="G220" t="str">
        <f t="shared" si="3"/>
        <v>https://www8.hp.com/h20195/v2/GetDocument.aspx?docname=c06631380</v>
      </c>
    </row>
    <row r="221" spans="1:7" x14ac:dyDescent="0.25">
      <c r="A221" t="s">
        <v>473</v>
      </c>
      <c r="B221" t="s">
        <v>474</v>
      </c>
      <c r="C221" t="s">
        <v>59</v>
      </c>
      <c r="D221" t="s">
        <v>47</v>
      </c>
      <c r="E221" t="str" cm="1">
        <f t="array" ref="E221">_xlfn.LET(
  _xlpm.text, " " &amp; B221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21" t="str">
        <f t="shared" si="3"/>
        <v>https://www8.hp.com/h20195/v2/GetDocument.aspx?docname=c08315316</v>
      </c>
    </row>
    <row r="222" spans="1:7" x14ac:dyDescent="0.25">
      <c r="A222" t="s">
        <v>475</v>
      </c>
      <c r="B222" t="s">
        <v>476</v>
      </c>
      <c r="C222" t="str" cm="1">
        <f t="array" ref="C222">_xlfn.LET(
  _xlpm.text, B222,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222" t="s">
        <v>1159</v>
      </c>
      <c r="E222" t="str" cm="1">
        <f t="array" ref="E222">_xlfn.LET(
  _xlpm.text, " " &amp; B222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22" t="str">
        <f t="shared" si="3"/>
        <v>https://www8.hp.com/h20195/v2/GetDocument.aspx?docname=c05527761</v>
      </c>
    </row>
    <row r="223" spans="1:7" x14ac:dyDescent="0.25">
      <c r="A223" t="s">
        <v>477</v>
      </c>
      <c r="B223" t="s">
        <v>478</v>
      </c>
      <c r="C223" t="s">
        <v>20</v>
      </c>
      <c r="D223" t="s">
        <v>47</v>
      </c>
      <c r="E223" t="str" cm="1">
        <f t="array" ref="E223">_xlfn.LET(
  _xlpm.text, " " &amp; B223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23" t="str">
        <f t="shared" si="3"/>
        <v>https://www8.hp.com/h20195/v2/GetDocument.aspx?docname=c08137760</v>
      </c>
    </row>
    <row r="224" spans="1:7" x14ac:dyDescent="0.25">
      <c r="A224" t="s">
        <v>479</v>
      </c>
      <c r="B224" t="s">
        <v>480</v>
      </c>
      <c r="C224" t="str" cm="1">
        <f t="array" ref="C224">_xlfn.LET(
  _xlpm.text, B224,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24" t="s">
        <v>85</v>
      </c>
      <c r="E224" t="str" cm="1">
        <f t="array" ref="E224">_xlfn.LET(
  _xlpm.text, " " &amp; B224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24" t="str">
        <f t="shared" si="3"/>
        <v>https://www8.hp.com/h20195/v2/GetDocument.aspx?docname=c08423206</v>
      </c>
    </row>
    <row r="225" spans="1:7" x14ac:dyDescent="0.25">
      <c r="A225" t="s">
        <v>481</v>
      </c>
      <c r="B225" t="s">
        <v>482</v>
      </c>
      <c r="C225" t="str" cm="1">
        <f t="array" ref="C225">_xlfn.LET(
  _xlpm.text, B225,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25" t="s">
        <v>89</v>
      </c>
      <c r="E225" t="str" cm="1">
        <f t="array" ref="E225">_xlfn.LET(
  _xlpm.text, " " &amp; B225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25" t="str">
        <f t="shared" si="3"/>
        <v>https://www8.hp.com/h20195/v2/GetDocument.aspx?docname=c08183760</v>
      </c>
    </row>
    <row r="226" spans="1:7" x14ac:dyDescent="0.25">
      <c r="A226" t="s">
        <v>483</v>
      </c>
      <c r="B226" t="s">
        <v>484</v>
      </c>
      <c r="C226" t="str" cm="1">
        <f t="array" ref="C226">_xlfn.LET(
  _xlpm.text, B226,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26" t="s">
        <v>75</v>
      </c>
      <c r="E226" t="str" cm="1">
        <f t="array" ref="E226">_xlfn.LET(
  _xlpm.text, " " &amp; B226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26" t="str">
        <f t="shared" si="3"/>
        <v>https://www8.hp.com/h20195/v2/GetDocument.aspx?docname=c07606984</v>
      </c>
    </row>
    <row r="227" spans="1:7" x14ac:dyDescent="0.25">
      <c r="A227" t="s">
        <v>485</v>
      </c>
      <c r="B227" t="s">
        <v>486</v>
      </c>
      <c r="C227" t="str" cm="1">
        <f t="array" ref="C227">_xlfn.LET(
  _xlpm.text, B227,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27" t="str" cm="1">
        <f t="array" ref="D227">_xlfn.LET(
  _xlpm.text, B227,
  _xlpm.keywords, Category!$A$1:$A$100,
  _xlpm.matches, _xlfn._xlws.FILTER(_xlpm.keywords, ISNUMBER(SEARCH(_xlpm.keywords, _xlpm.text))),
  IF(COUNTA(_xlpm.matches) &gt; 0, INDEX(_xlpm.matches, 1), "")
)</f>
        <v>ZBook</v>
      </c>
      <c r="E227" t="str" cm="1">
        <f t="array" ref="E227">_xlfn.LET(
  _xlpm.text, " " &amp; B227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227" t="str">
        <f t="shared" si="3"/>
        <v>https://www8.hp.com/h20195/v2/GetDocument.aspx?docname=c06887263</v>
      </c>
    </row>
    <row r="228" spans="1:7" x14ac:dyDescent="0.25">
      <c r="A228" t="s">
        <v>487</v>
      </c>
      <c r="B228" t="s">
        <v>488</v>
      </c>
      <c r="C228" t="str" cm="1">
        <f t="array" ref="C228">_xlfn.LET(
  _xlpm.text, B228,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28" t="s">
        <v>85</v>
      </c>
      <c r="E228" t="str" cm="1">
        <f t="array" ref="E228">_xlfn.LET(
  _xlpm.text, " " &amp; B228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28" t="str">
        <f t="shared" si="3"/>
        <v>https://www8.hp.com/h20195/v2/GetDocument.aspx?docname=c06922716</v>
      </c>
    </row>
    <row r="229" spans="1:7" x14ac:dyDescent="0.25">
      <c r="A229" t="s">
        <v>489</v>
      </c>
      <c r="B229" t="s">
        <v>490</v>
      </c>
      <c r="C229" t="str" cm="1">
        <f t="array" ref="C229">_xlfn.LET(
  _xlpm.text, B229,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29" t="s">
        <v>85</v>
      </c>
      <c r="E229" t="str" cm="1">
        <f t="array" ref="E229">_xlfn.LET(
  _xlpm.text, " " &amp; B229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29" t="str">
        <f t="shared" si="3"/>
        <v>https://www8.hp.com/h20195/v2/GetDocument.aspx?docname=c06922717</v>
      </c>
    </row>
    <row r="230" spans="1:7" x14ac:dyDescent="0.25">
      <c r="A230" t="s">
        <v>491</v>
      </c>
      <c r="B230" t="s">
        <v>492</v>
      </c>
      <c r="C230" t="str" cm="1">
        <f t="array" ref="C230">_xlfn.LET(
  _xlpm.text, B230,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0" t="s">
        <v>75</v>
      </c>
      <c r="E230" t="str" cm="1">
        <f t="array" ref="E230">_xlfn.LET(
  _xlpm.text, " " &amp; B230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0" t="str">
        <f t="shared" si="3"/>
        <v>https://www8.hp.com/h20195/v2/GetDocument.aspx?docname=c08733837</v>
      </c>
    </row>
    <row r="231" spans="1:7" x14ac:dyDescent="0.25">
      <c r="A231" t="s">
        <v>493</v>
      </c>
      <c r="B231" t="s">
        <v>494</v>
      </c>
      <c r="C231" t="str" cm="1">
        <f t="array" ref="C231">_xlfn.LET(
  _xlpm.text, B231,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1" t="s">
        <v>75</v>
      </c>
      <c r="E231" t="str" cm="1">
        <f t="array" ref="E231">_xlfn.LET(
  _xlpm.text, " " &amp; B231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1" t="str">
        <f t="shared" si="3"/>
        <v>https://www8.hp.com/h20195/v2/GetDocument.aspx?docname=c08733838</v>
      </c>
    </row>
    <row r="232" spans="1:7" x14ac:dyDescent="0.25">
      <c r="A232" t="s">
        <v>495</v>
      </c>
      <c r="B232" t="s">
        <v>496</v>
      </c>
      <c r="C232" t="s">
        <v>41</v>
      </c>
      <c r="D232" t="s">
        <v>89</v>
      </c>
      <c r="E232" t="str" cm="1">
        <f t="array" ref="E232">_xlfn.LET(
  _xlpm.text, " " &amp; B232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232" t="str">
        <f t="shared" si="3"/>
        <v>https://www8.hp.com/h20195/v2/GetDocument.aspx?docname=c08822317</v>
      </c>
    </row>
    <row r="233" spans="1:7" x14ac:dyDescent="0.25">
      <c r="A233" t="s">
        <v>497</v>
      </c>
      <c r="B233" t="s">
        <v>498</v>
      </c>
      <c r="C233" t="str" cm="1">
        <f t="array" ref="C233">_xlfn.LET(
  _xlpm.text, B233,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3" t="s">
        <v>75</v>
      </c>
      <c r="E233" t="str" cm="1">
        <f t="array" ref="E233">_xlfn.LET(
  _xlpm.text, " " &amp; B233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3" t="str">
        <f t="shared" si="3"/>
        <v>https://www8.hp.com/h20195/v2/GetDocument.aspx?docname=c08262303</v>
      </c>
    </row>
    <row r="234" spans="1:7" x14ac:dyDescent="0.25">
      <c r="A234" t="s">
        <v>499</v>
      </c>
      <c r="B234" t="s">
        <v>500</v>
      </c>
      <c r="C234" t="str" cm="1">
        <f t="array" ref="C234">_xlfn.LET(
  _xlpm.text, B234,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4" t="s">
        <v>75</v>
      </c>
      <c r="E234" t="str" cm="1">
        <f t="array" ref="E234">_xlfn.LET(
  _xlpm.text, " " &amp; B234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4" t="str">
        <f t="shared" si="3"/>
        <v>https://www8.hp.com/h20195/v2/GetDocument.aspx?docname=c08262301</v>
      </c>
    </row>
    <row r="235" spans="1:7" x14ac:dyDescent="0.25">
      <c r="A235" t="s">
        <v>501</v>
      </c>
      <c r="B235" t="s">
        <v>502</v>
      </c>
      <c r="C235" t="str" cm="1">
        <f t="array" ref="C235">_xlfn.LET(
  _xlpm.text, B235,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5" t="s">
        <v>75</v>
      </c>
      <c r="E235" t="str" cm="1">
        <f t="array" ref="E235">_xlfn.LET(
  _xlpm.text, " " &amp; B235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5" t="str">
        <f t="shared" si="3"/>
        <v>https://www8.hp.com/h20195/v2/GetDocument.aspx?docname=c08262307</v>
      </c>
    </row>
    <row r="236" spans="1:7" x14ac:dyDescent="0.25">
      <c r="A236" t="s">
        <v>503</v>
      </c>
      <c r="B236" t="s">
        <v>504</v>
      </c>
      <c r="C236" t="str" cm="1">
        <f t="array" ref="C236">_xlfn.LET(
  _xlpm.text, B236,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36" t="s">
        <v>75</v>
      </c>
      <c r="E236" t="str" cm="1">
        <f t="array" ref="E236">_xlfn.LET(
  _xlpm.text, " " &amp; B236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36" t="str">
        <f t="shared" si="3"/>
        <v>https://www8.hp.com/h20195/v2/GetDocument.aspx?docname=c08262304</v>
      </c>
    </row>
    <row r="237" spans="1:7" x14ac:dyDescent="0.25">
      <c r="A237" t="s">
        <v>505</v>
      </c>
      <c r="B237" t="s">
        <v>506</v>
      </c>
      <c r="C237" t="str" cm="1">
        <f t="array" ref="C237">_xlfn.LET(
  _xlpm.text, B237,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37" t="str" cm="1">
        <f t="array" ref="D237">_xlfn.LET(
  _xlpm.text, B237,
  _xlpm.keywords, Category!$A$1:$A$100,
  _xlpm.matches, _xlfn._xlws.FILTER(_xlpm.keywords, ISNUMBER(SEARCH(_xlpm.keywords, _xlpm.text))),
  IF(COUNTA(_xlpm.matches) &gt; 0, INDEX(_xlpm.matches, 1), "")
)</f>
        <v>Engage</v>
      </c>
      <c r="E237" t="str" cm="1">
        <f t="array" ref="E237">_xlfn.LET(
  _xlpm.text, " " &amp; B237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37" t="str">
        <f t="shared" si="3"/>
        <v>https://www8.hp.com/h20195/v2/GetDocument.aspx?docname=c06102151</v>
      </c>
    </row>
    <row r="238" spans="1:7" x14ac:dyDescent="0.25">
      <c r="A238" t="s">
        <v>507</v>
      </c>
      <c r="B238" t="s">
        <v>508</v>
      </c>
      <c r="C238" t="str" cm="1">
        <f t="array" ref="C238">_xlfn.LET(
  _xlpm.text, B238,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38" t="str" cm="1">
        <f t="array" ref="D238">_xlfn.LET(
  _xlpm.text, B238,
  _xlpm.keywords, Category!$A$1:$A$100,
  _xlpm.matches, _xlfn._xlws.FILTER(_xlpm.keywords, ISNUMBER(SEARCH(_xlpm.keywords, _xlpm.text))),
  IF(COUNTA(_xlpm.matches) &gt; 0, INDEX(_xlpm.matches, 1), "")
)</f>
        <v>Printer</v>
      </c>
      <c r="E238" t="str" cm="1">
        <f t="array" ref="E238">_xlfn.LET(
  _xlpm.text, " " &amp; B238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38" t="str">
        <f t="shared" si="3"/>
        <v>https://www8.hp.com/h20195/v2/GetDocument.aspx?docname=c05665627</v>
      </c>
    </row>
    <row r="239" spans="1:7" x14ac:dyDescent="0.25">
      <c r="A239" t="s">
        <v>509</v>
      </c>
      <c r="B239" t="s">
        <v>510</v>
      </c>
      <c r="C239" t="str" cm="1">
        <f t="array" ref="C239">_xlfn.LET(
  _xlpm.text, B239,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39" t="str" cm="1">
        <f t="array" ref="D239">_xlfn.LET(
  _xlpm.text, B239,
  _xlpm.keywords, Category!$A$1:$A$100,
  _xlpm.matches, _xlfn._xlws.FILTER(_xlpm.keywords, ISNUMBER(SEARCH(_xlpm.keywords, _xlpm.text))),
  IF(COUNTA(_xlpm.matches) &gt; 0, INDEX(_xlpm.matches, 1), "")
)</f>
        <v>ProDesk</v>
      </c>
      <c r="E239" t="str" cm="1">
        <f t="array" ref="E239">_xlfn.LET(
  _xlpm.text, " " &amp; B239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239" t="str">
        <f t="shared" si="3"/>
        <v>https://www8.hp.com/h20195/v2/GetDocument.aspx?docname=c06640111</v>
      </c>
    </row>
    <row r="240" spans="1:7" x14ac:dyDescent="0.25">
      <c r="A240" t="s">
        <v>511</v>
      </c>
      <c r="B240" t="s">
        <v>512</v>
      </c>
      <c r="C240" t="str" cm="1">
        <f t="array" ref="C240">_xlfn.LET(
  _xlpm.text, B240,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0" t="s">
        <v>28</v>
      </c>
      <c r="E240" t="str" cm="1">
        <f t="array" ref="E240">_xlfn.LET(
  _xlpm.text, " " &amp; B240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240" t="str">
        <f t="shared" si="3"/>
        <v>https://www8.hp.com/h20195/v2/GetDocument.aspx?docname=c08310347</v>
      </c>
    </row>
    <row r="241" spans="1:7" x14ac:dyDescent="0.25">
      <c r="A241" t="s">
        <v>513</v>
      </c>
      <c r="B241" t="s">
        <v>514</v>
      </c>
      <c r="C241" t="str" cm="1">
        <f t="array" ref="C241">_xlfn.LET(
  _xlpm.text, B241,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1" t="str" cm="1">
        <f t="array" ref="D241">_xlfn.LET(
  _xlpm.text, B241,
  _xlpm.keywords, Category!$A$1:$A$100,
  _xlpm.matches, _xlfn._xlws.FILTER(_xlpm.keywords, ISNUMBER(SEARCH(_xlpm.keywords, _xlpm.text))),
  IF(COUNTA(_xlpm.matches) &gt; 0, INDEX(_xlpm.matches, 1), "")
)</f>
        <v>Series 3</v>
      </c>
      <c r="E241" t="str" cm="1">
        <f t="array" ref="E241">_xlfn.LET(
  _xlpm.text, " " &amp; B241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41" t="str">
        <f t="shared" si="3"/>
        <v>https://www8.hp.com/h20195/v2/GetDocument.aspx?docname=c08982817</v>
      </c>
    </row>
    <row r="242" spans="1:7" x14ac:dyDescent="0.25">
      <c r="A242" t="s">
        <v>515</v>
      </c>
      <c r="B242" t="s">
        <v>82</v>
      </c>
      <c r="C242" t="str" cm="1">
        <f t="array" ref="C242">_xlfn.LET(
  _xlpm.text, B242,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2" t="s">
        <v>28</v>
      </c>
      <c r="E242" t="str" cm="1">
        <f t="array" ref="E242">_xlfn.LET(
  _xlpm.text, " " &amp; B242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242" t="str">
        <f t="shared" si="3"/>
        <v>https://www8.hp.com/h20195/v2/GetDocument.aspx?docname=c07029156</v>
      </c>
    </row>
    <row r="243" spans="1:7" x14ac:dyDescent="0.25">
      <c r="A243" t="s">
        <v>516</v>
      </c>
      <c r="B243" t="s">
        <v>517</v>
      </c>
      <c r="C243" t="str" cm="1">
        <f t="array" ref="C243">_xlfn.LET(
  _xlpm.text, B243,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3" t="s">
        <v>28</v>
      </c>
      <c r="E243" t="str" cm="1">
        <f t="array" ref="E243">_xlfn.LET(
  _xlpm.text, " " &amp; B243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243" t="str">
        <f t="shared" si="3"/>
        <v>https://www8.hp.com/h20195/v2/GetDocument.aspx?docname=c06951520</v>
      </c>
    </row>
    <row r="244" spans="1:7" x14ac:dyDescent="0.25">
      <c r="A244" t="s">
        <v>518</v>
      </c>
      <c r="B244" t="s">
        <v>519</v>
      </c>
      <c r="C244" t="str" cm="1">
        <f t="array" ref="C244">_xlfn.LET(
  _xlpm.text, B244,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244" t="str" cm="1">
        <f t="array" ref="D244">_xlfn.LET(
  _xlpm.text, B244,
  _xlpm.keywords, Category!$A$1:$A$100,
  _xlpm.matches, _xlfn._xlws.FILTER(_xlpm.keywords, ISNUMBER(SEARCH(_xlpm.keywords, _xlpm.text))),
  IF(COUNTA(_xlpm.matches) &gt; 0, INDEX(_xlpm.matches, 1), "")
)</f>
        <v>Zero Client</v>
      </c>
      <c r="G244" t="str">
        <f t="shared" si="3"/>
        <v>https://www8.hp.com/h20195/v2/GetDocument.aspx?docname=c05825493</v>
      </c>
    </row>
    <row r="245" spans="1:7" x14ac:dyDescent="0.25">
      <c r="A245" t="s">
        <v>520</v>
      </c>
      <c r="B245" t="s">
        <v>521</v>
      </c>
      <c r="C245" t="s">
        <v>59</v>
      </c>
      <c r="D245" t="s">
        <v>47</v>
      </c>
      <c r="E245" t="str" cm="1">
        <f t="array" ref="E245">_xlfn.LET(
  _xlpm.text, " " &amp; B245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45" t="str">
        <f t="shared" si="3"/>
        <v>https://www8.hp.com/h20195/v2/GetDocument.aspx?docname=c08611076</v>
      </c>
    </row>
    <row r="246" spans="1:7" x14ac:dyDescent="0.25">
      <c r="A246" t="s">
        <v>522</v>
      </c>
      <c r="B246" t="s">
        <v>523</v>
      </c>
      <c r="C246" t="s">
        <v>20</v>
      </c>
      <c r="D246" t="s">
        <v>21</v>
      </c>
      <c r="E246" t="str" cm="1">
        <f t="array" ref="E246">_xlfn.LET(
  _xlpm.text, " " &amp; B246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46" t="str">
        <f t="shared" si="3"/>
        <v>https://www8.hp.com/h20195/v2/GetDocument.aspx?docname=c07020706</v>
      </c>
    </row>
    <row r="247" spans="1:7" x14ac:dyDescent="0.25">
      <c r="A247" t="s">
        <v>524</v>
      </c>
      <c r="B247" t="s">
        <v>525</v>
      </c>
      <c r="C247" t="str" cm="1">
        <f t="array" ref="C247">_xlfn.LET(
  _xlpm.text, B247,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7" t="s">
        <v>85</v>
      </c>
      <c r="E247" t="str" cm="1">
        <f t="array" ref="E247">_xlfn.LET(
  _xlpm.text, " " &amp; B247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47" t="str">
        <f t="shared" si="3"/>
        <v>https://www8.hp.com/h20195/v2/GetDocument.aspx?docname=c08392797</v>
      </c>
    </row>
    <row r="248" spans="1:7" x14ac:dyDescent="0.25">
      <c r="A248" t="s">
        <v>526</v>
      </c>
      <c r="B248" t="s">
        <v>527</v>
      </c>
      <c r="C248" t="str" cm="1">
        <f t="array" ref="C248">_xlfn.LET(
  _xlpm.text, B248,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48" t="str" cm="1">
        <f t="array" ref="D248">_xlfn.LET(
  _xlpm.text, B248,
  _xlpm.keywords, Category!$A$1:$A$100,
  _xlpm.matches, _xlfn._xlws.FILTER(_xlpm.keywords, ISNUMBER(SEARCH(_xlpm.keywords, _xlpm.text))),
  IF(COUNTA(_xlpm.matches) &gt; 0, INDEX(_xlpm.matches, 1), "")
)</f>
        <v>EliteBook</v>
      </c>
      <c r="E248" t="str" cm="1">
        <f t="array" ref="E248">_xlfn.LET(
  _xlpm.text, " " &amp; B248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48" t="str">
        <f t="shared" si="3"/>
        <v>https://www8.hp.com/h20195/v2/GetDocument.aspx?docname=c08098771</v>
      </c>
    </row>
    <row r="249" spans="1:7" x14ac:dyDescent="0.25">
      <c r="A249" t="s">
        <v>528</v>
      </c>
      <c r="B249" t="s">
        <v>529</v>
      </c>
      <c r="C249" t="str" cm="1">
        <f t="array" ref="C249">_xlfn.LET(
  _xlpm.text, B249,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49" t="s">
        <v>28</v>
      </c>
      <c r="E249" t="str" cm="1">
        <f t="array" ref="E249">_xlfn.LET(
  _xlpm.text, " " &amp; B249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249" t="str">
        <f t="shared" si="3"/>
        <v>https://www8.hp.com/h20195/v2/GetDocument.aspx?docname=c06973543</v>
      </c>
    </row>
    <row r="250" spans="1:7" x14ac:dyDescent="0.25">
      <c r="A250" t="s">
        <v>530</v>
      </c>
      <c r="B250" t="s">
        <v>531</v>
      </c>
      <c r="C250" t="str" cm="1">
        <f t="array" ref="C250">_xlfn.LET(
  _xlpm.text, B250,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50" t="str" cm="1">
        <f t="array" ref="D250">_xlfn.LET(
  _xlpm.text, B250,
  _xlpm.keywords, Category!$A$1:$A$100,
  _xlpm.matches, _xlfn._xlws.FILTER(_xlpm.keywords, ISNUMBER(SEARCH(_xlpm.keywords, _xlpm.text))),
  IF(COUNTA(_xlpm.matches) &gt; 0, INDEX(_xlpm.matches, 1), "")
)</f>
        <v>ProBook</v>
      </c>
      <c r="E250" t="str" cm="1">
        <f t="array" ref="E250">_xlfn.LET(
  _xlpm.text, " " &amp; B250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250" t="s">
        <v>9</v>
      </c>
      <c r="G250" t="str">
        <f t="shared" si="3"/>
        <v>https://www8.hp.com/h20195/v2/GetDocument.aspx?docname=c05572874</v>
      </c>
    </row>
    <row r="251" spans="1:7" x14ac:dyDescent="0.25">
      <c r="A251" t="s">
        <v>532</v>
      </c>
      <c r="B251" t="s">
        <v>533</v>
      </c>
      <c r="C251" t="str" cm="1">
        <f t="array" ref="C251">_xlfn.LET(
  _xlpm.text, B251,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51" t="str" cm="1">
        <f t="array" ref="D251">_xlfn.LET(
  _xlpm.text, B251,
  _xlpm.keywords, Category!$A$1:$A$100,
  _xlpm.matches, _xlfn._xlws.FILTER(_xlpm.keywords, ISNUMBER(SEARCH(_xlpm.keywords, _xlpm.text))),
  IF(COUNTA(_xlpm.matches) &gt; 0, INDEX(_xlpm.matches, 1), "")
)</f>
        <v>EliteBook</v>
      </c>
      <c r="E251" t="str" cm="1">
        <f t="array" ref="E251">_xlfn.LET(
  _xlpm.text, " " &amp; B251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251" t="str">
        <f t="shared" si="3"/>
        <v>https://www8.hp.com/h20195/v2/GetDocument.aspx?docname=c08487728</v>
      </c>
    </row>
    <row r="252" spans="1:7" x14ac:dyDescent="0.25">
      <c r="A252" t="s">
        <v>534</v>
      </c>
      <c r="B252" t="s">
        <v>535</v>
      </c>
      <c r="C252" t="str" cm="1">
        <f t="array" ref="C252">_xlfn.LET(
  _xlpm.text, B252,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52" t="str" cm="1">
        <f t="array" ref="D252">_xlfn.LET(
  _xlpm.text, B252,
  _xlpm.keywords, Category!$A$1:$A$100,
  _xlpm.matches, _xlfn._xlws.FILTER(_xlpm.keywords, ISNUMBER(SEARCH(_xlpm.keywords, _xlpm.text))),
  IF(COUNTA(_xlpm.matches) &gt; 0, INDEX(_xlpm.matches, 1), "")
)</f>
        <v>ZBook</v>
      </c>
      <c r="E252" t="str" cm="1">
        <f t="array" ref="E252">_xlfn.LET(
  _xlpm.text, " " &amp; B252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52" t="str">
        <f t="shared" si="3"/>
        <v>https://www8.hp.com/h20195/v2/GetDocument.aspx?docname=c08150789</v>
      </c>
    </row>
    <row r="253" spans="1:7" x14ac:dyDescent="0.25">
      <c r="A253" t="s">
        <v>536</v>
      </c>
      <c r="B253" t="s">
        <v>537</v>
      </c>
      <c r="C253" t="s">
        <v>20</v>
      </c>
      <c r="D253" t="s">
        <v>47</v>
      </c>
      <c r="E253" t="str" cm="1">
        <f t="array" ref="E253">_xlfn.LET(
  _xlpm.text, " " &amp; B253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53" t="str">
        <f t="shared" si="3"/>
        <v>https://www8.hp.com/h20195/v2/GetDocument.aspx?docname=c06043727</v>
      </c>
    </row>
    <row r="254" spans="1:7" x14ac:dyDescent="0.25">
      <c r="A254" t="s">
        <v>538</v>
      </c>
      <c r="B254" t="s">
        <v>539</v>
      </c>
      <c r="C254" t="str" cm="1">
        <f t="array" ref="C254">_xlfn.LET(
  _xlpm.text, B254,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54" t="str" cm="1">
        <f t="array" ref="D254">_xlfn.LET(
  _xlpm.text, B254,
  _xlpm.keywords, Category!$A$1:$A$100,
  _xlpm.matches, _xlfn._xlws.FILTER(_xlpm.keywords, ISNUMBER(SEARCH(_xlpm.keywords, _xlpm.text))),
  IF(COUNTA(_xlpm.matches) &gt; 0, INDEX(_xlpm.matches, 1), "")
)</f>
        <v>ProOne</v>
      </c>
      <c r="E254" t="str" cm="1">
        <f t="array" ref="E254">_xlfn.LET(
  _xlpm.text, " " &amp; B254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54" t="str">
        <f t="shared" si="3"/>
        <v>https://www8.hp.com/h20195/v2/GetDocument.aspx?docname=c06042439</v>
      </c>
    </row>
    <row r="255" spans="1:7" x14ac:dyDescent="0.25">
      <c r="A255" t="s">
        <v>540</v>
      </c>
      <c r="B255" t="s">
        <v>541</v>
      </c>
      <c r="C255" t="str" cm="1">
        <f t="array" ref="C255">_xlfn.LET(
  _xlpm.text, B255,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55" t="s">
        <v>1153</v>
      </c>
      <c r="E255" t="str" cm="1">
        <f t="array" ref="E255">_xlfn.LET(
  _xlpm.text, " " &amp; B255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255" t="str">
        <f t="shared" si="3"/>
        <v>https://www8.hp.com/h20195/v2/GetDocument.aspx?docname=c06118511</v>
      </c>
    </row>
    <row r="256" spans="1:7" x14ac:dyDescent="0.25">
      <c r="A256" t="s">
        <v>542</v>
      </c>
      <c r="B256" t="s">
        <v>543</v>
      </c>
      <c r="C256" t="str" cm="1">
        <f t="array" ref="C256">_xlfn.LET(
  _xlpm.text, B256,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56" t="s">
        <v>21</v>
      </c>
      <c r="E256" t="str" cm="1">
        <f t="array" ref="E256">_xlfn.LET(
  _xlpm.text, " " &amp; B256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256" t="str">
        <f t="shared" si="3"/>
        <v>https://www8.hp.com/h20195/v2/GetDocument.aspx?docname=c06046117</v>
      </c>
    </row>
    <row r="257" spans="1:7" x14ac:dyDescent="0.25">
      <c r="A257" t="s">
        <v>544</v>
      </c>
      <c r="B257" t="s">
        <v>545</v>
      </c>
      <c r="C257" t="str" cm="1">
        <f t="array" ref="C257">_xlfn.LET(
  _xlpm.text, B257,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57" t="str" cm="1">
        <f t="array" ref="D257">_xlfn.LET(
  _xlpm.text, B257,
  _xlpm.keywords, Category!$A$1:$A$100,
  _xlpm.matches, _xlfn._xlws.FILTER(_xlpm.keywords, ISNUMBER(SEARCH(_xlpm.keywords, _xlpm.text))),
  IF(COUNTA(_xlpm.matches) &gt; 0, INDEX(_xlpm.matches, 1), "")
)</f>
        <v>ProBook</v>
      </c>
      <c r="E257" t="str" cm="1">
        <f t="array" ref="E257">_xlfn.LET(
  _xlpm.text, " " &amp; B257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257" t="s">
        <v>9</v>
      </c>
      <c r="G257" t="str">
        <f t="shared" ref="G257:G320" si="4">_xlfn.CONCAT("https://www8.hp.com/h20195/v2/GetDocument.aspx?docname=",A257)</f>
        <v>https://www8.hp.com/h20195/v2/GetDocument.aspx?docname=c05572880</v>
      </c>
    </row>
    <row r="258" spans="1:7" x14ac:dyDescent="0.25">
      <c r="A258" t="s">
        <v>546</v>
      </c>
      <c r="B258" t="s">
        <v>547</v>
      </c>
      <c r="C258" t="str" cm="1">
        <f t="array" ref="C258">_xlfn.LET(
  _xlpm.text, B258,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58" t="str" cm="1">
        <f t="array" ref="D258">_xlfn.LET(
  _xlpm.text, B258,
  _xlpm.keywords, Category!$A$1:$A$100,
  _xlpm.matches, _xlfn._xlws.FILTER(_xlpm.keywords, ISNUMBER(SEARCH(_xlpm.keywords, _xlpm.text))),
  IF(COUNTA(_xlpm.matches) &gt; 0, INDEX(_xlpm.matches, 1), "")
)</f>
        <v>ZBook</v>
      </c>
      <c r="E258" t="str" cm="1">
        <f t="array" ref="E258">_xlfn.LET(
  _xlpm.text, " " &amp; B258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58" t="str">
        <f t="shared" si="4"/>
        <v>https://www8.hp.com/h20195/v2/GetDocument.aspx?docname=c07538129</v>
      </c>
    </row>
    <row r="259" spans="1:7" x14ac:dyDescent="0.25">
      <c r="A259" t="s">
        <v>548</v>
      </c>
      <c r="B259" t="s">
        <v>549</v>
      </c>
      <c r="C259" t="str" cm="1">
        <f t="array" ref="C259">_xlfn.LET(
  _xlpm.text, B259,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59" t="str" cm="1">
        <f t="array" ref="D259">_xlfn.LET(
  _xlpm.text, B259,
  _xlpm.keywords, Category!$A$1:$A$100,
  _xlpm.matches, _xlfn._xlws.FILTER(_xlpm.keywords, ISNUMBER(SEARCH(_xlpm.keywords, _xlpm.text))),
  IF(COUNTA(_xlpm.matches) &gt; 0, INDEX(_xlpm.matches, 1), "")
)</f>
        <v>ZBook</v>
      </c>
      <c r="E259" t="str" cm="1">
        <f t="array" ref="E259">_xlfn.LET(
  _xlpm.text, " " &amp; B259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59" t="str">
        <f t="shared" si="4"/>
        <v>https://www8.hp.com/h20195/v2/GetDocument.aspx?docname=c08143475</v>
      </c>
    </row>
    <row r="260" spans="1:7" x14ac:dyDescent="0.25">
      <c r="A260" t="s">
        <v>550</v>
      </c>
      <c r="B260" t="s">
        <v>551</v>
      </c>
      <c r="C260" t="str" cm="1">
        <f t="array" ref="C260">_xlfn.LET(
  _xlpm.text, B260,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60" t="str" cm="1">
        <f t="array" ref="D260">_xlfn.LET(
  _xlpm.text, B260,
  _xlpm.keywords, Category!$A$1:$A$100,
  _xlpm.matches, _xlfn._xlws.FILTER(_xlpm.keywords, ISNUMBER(SEARCH(_xlpm.keywords, _xlpm.text))),
  IF(COUNTA(_xlpm.matches) &gt; 0, INDEX(_xlpm.matches, 1), "")
)</f>
        <v>EliteBook</v>
      </c>
      <c r="E260" t="str" cm="1">
        <f t="array" ref="E260">_xlfn.LET(
  _xlpm.text, " " &amp; B260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60" t="str">
        <f t="shared" si="4"/>
        <v>https://www8.hp.com/h20195/v2/GetDocument.aspx?docname=c08007865</v>
      </c>
    </row>
    <row r="261" spans="1:7" x14ac:dyDescent="0.25">
      <c r="A261" t="s">
        <v>552</v>
      </c>
      <c r="B261" t="s">
        <v>553</v>
      </c>
      <c r="C261" t="str" cm="1">
        <f t="array" ref="C261">_xlfn.LET(
  _xlpm.text, B261,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61" t="str" cm="1">
        <f t="array" ref="D261">_xlfn.LET(
  _xlpm.text, B261,
  _xlpm.keywords, Category!$A$1:$A$100,
  _xlpm.matches, _xlfn._xlws.FILTER(_xlpm.keywords, ISNUMBER(SEARCH(_xlpm.keywords, _xlpm.text))),
  IF(COUNTA(_xlpm.matches) &gt; 0, INDEX(_xlpm.matches, 1), "")
)</f>
        <v>ZBook</v>
      </c>
      <c r="E261" t="str" cm="1">
        <f t="array" ref="E261">_xlfn.LET(
  _xlpm.text, " " &amp; B261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61" t="str">
        <f t="shared" si="4"/>
        <v>https://www8.hp.com/h20195/v2/GetDocument.aspx?docname=c08143445</v>
      </c>
    </row>
    <row r="262" spans="1:7" x14ac:dyDescent="0.25">
      <c r="A262" t="s">
        <v>554</v>
      </c>
      <c r="B262" t="s">
        <v>555</v>
      </c>
      <c r="C262" t="s">
        <v>20</v>
      </c>
      <c r="D262" t="s">
        <v>21</v>
      </c>
      <c r="E262" t="str" cm="1">
        <f t="array" ref="E262">_xlfn.LET(
  _xlpm.text, " " &amp; B262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62" t="str">
        <f t="shared" si="4"/>
        <v>https://www8.hp.com/h20195/v2/GetDocument.aspx?docname=c07020719</v>
      </c>
    </row>
    <row r="263" spans="1:7" x14ac:dyDescent="0.25">
      <c r="A263" t="s">
        <v>556</v>
      </c>
      <c r="B263" t="s">
        <v>557</v>
      </c>
      <c r="C263" t="s">
        <v>20</v>
      </c>
      <c r="D263" t="s">
        <v>21</v>
      </c>
      <c r="E263" t="str" cm="1">
        <f t="array" ref="E263">_xlfn.LET(
  _xlpm.text, " " &amp; B263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263" t="str">
        <f t="shared" si="4"/>
        <v>https://www8.hp.com/h20195/v2/GetDocument.aspx?docname=c06953003</v>
      </c>
    </row>
    <row r="264" spans="1:7" x14ac:dyDescent="0.25">
      <c r="A264" t="s">
        <v>558</v>
      </c>
      <c r="B264" t="s">
        <v>559</v>
      </c>
      <c r="C264" t="s">
        <v>59</v>
      </c>
      <c r="D264" t="s">
        <v>560</v>
      </c>
      <c r="E264" t="str" cm="1">
        <f t="array" ref="E264">_xlfn.LET(
  _xlpm.text, " " &amp; B264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64" t="str">
        <f t="shared" si="4"/>
        <v>https://www8.hp.com/h20195/v2/GetDocument.aspx?docname=c09033579</v>
      </c>
    </row>
    <row r="265" spans="1:7" x14ac:dyDescent="0.25">
      <c r="A265" t="s">
        <v>561</v>
      </c>
      <c r="B265" t="s">
        <v>562</v>
      </c>
      <c r="C265" t="str" cm="1">
        <f t="array" ref="C265">_xlfn.LET(
  _xlpm.text, B265,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65" t="s">
        <v>145</v>
      </c>
      <c r="E265" t="str" cm="1">
        <f t="array" ref="E265">_xlfn.LET(
  _xlpm.text, " " &amp; B265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65" t="str">
        <f t="shared" si="4"/>
        <v>https://www8.hp.com/h20195/v2/GetDocument.aspx?docname=c08051152</v>
      </c>
    </row>
    <row r="266" spans="1:7" x14ac:dyDescent="0.25">
      <c r="A266" t="s">
        <v>563</v>
      </c>
      <c r="B266" t="s">
        <v>564</v>
      </c>
      <c r="C266" t="s">
        <v>156</v>
      </c>
      <c r="D266" t="s">
        <v>145</v>
      </c>
      <c r="E266" t="str" cm="1">
        <f t="array" ref="E266">_xlfn.LET(
  _xlpm.text, " " &amp; B266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66" t="str">
        <f t="shared" si="4"/>
        <v>https://www8.hp.com/h20195/v2/GetDocument.aspx?docname=c04961223</v>
      </c>
    </row>
    <row r="267" spans="1:7" x14ac:dyDescent="0.25">
      <c r="A267" t="s">
        <v>565</v>
      </c>
      <c r="B267" t="s">
        <v>566</v>
      </c>
      <c r="C267" t="str" cm="1">
        <f t="array" ref="C267">_xlfn.LET(
  _xlpm.text, B267,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67" t="s">
        <v>145</v>
      </c>
      <c r="E267" t="str" cm="1">
        <f t="array" ref="E267">_xlfn.LET(
  _xlpm.text, " " &amp; B267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67" t="str">
        <f t="shared" si="4"/>
        <v>https://www8.hp.com/h20195/v2/GetDocument.aspx?docname=c05693273</v>
      </c>
    </row>
    <row r="268" spans="1:7" x14ac:dyDescent="0.25">
      <c r="A268" t="s">
        <v>567</v>
      </c>
      <c r="B268" t="s">
        <v>568</v>
      </c>
      <c r="C268" t="str" cm="1">
        <f t="array" ref="C268">_xlfn.LET(
  _xlpm.text, B268,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68" t="str" cm="1">
        <f t="array" ref="D268">_xlfn.LET(
  _xlpm.text, B268,
  _xlpm.keywords, Category!$A$1:$A$100,
  _xlpm.matches, _xlfn._xlws.FILTER(_xlpm.keywords, ISNUMBER(SEARCH(_xlpm.keywords, _xlpm.text))),
  IF(COUNTA(_xlpm.matches) &gt; 0, INDEX(_xlpm.matches, 1), "")
)</f>
        <v>EliteDesk</v>
      </c>
      <c r="E268" t="str" cm="1">
        <f t="array" ref="E268">_xlfn.LET(
  _xlpm.text, " " &amp; B268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68" t="str">
        <f t="shared" si="4"/>
        <v>https://www8.hp.com/h20195/v2/GetDocument.aspx?docname=c06040429</v>
      </c>
    </row>
    <row r="269" spans="1:7" x14ac:dyDescent="0.25">
      <c r="A269" t="s">
        <v>569</v>
      </c>
      <c r="B269" t="s">
        <v>570</v>
      </c>
      <c r="C269" t="str" cm="1">
        <f t="array" ref="C269">_xlfn.LET(
  _xlpm.text, B269,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69" t="s">
        <v>47</v>
      </c>
      <c r="E269" t="str" cm="1">
        <f t="array" ref="E269">_xlfn.LET(
  _xlpm.text, " " &amp; B269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69" t="str">
        <f t="shared" si="4"/>
        <v>https://www8.hp.com/h20195/v2/GetDocument.aspx?docname=c04782353</v>
      </c>
    </row>
    <row r="270" spans="1:7" x14ac:dyDescent="0.25">
      <c r="A270" t="s">
        <v>571</v>
      </c>
      <c r="B270" t="s">
        <v>572</v>
      </c>
      <c r="C270" t="s">
        <v>108</v>
      </c>
      <c r="D270" t="s">
        <v>47</v>
      </c>
      <c r="E270" t="str" cm="1">
        <f t="array" ref="E270">_xlfn.LET(
  _xlpm.text, " " &amp; B270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70" t="str">
        <f t="shared" si="4"/>
        <v>https://www8.hp.com/h20195/v2/GetDocument.aspx?docname=c06245039</v>
      </c>
    </row>
    <row r="271" spans="1:7" x14ac:dyDescent="0.25">
      <c r="A271" t="s">
        <v>573</v>
      </c>
      <c r="B271" t="s">
        <v>574</v>
      </c>
      <c r="C271" t="str" cm="1">
        <f t="array" ref="C271">_xlfn.LET(
  _xlpm.text, B271,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71" t="str" cm="1">
        <f t="array" ref="D271">_xlfn.LET(
  _xlpm.text, B271,
  _xlpm.keywords, Category!$A$1:$A$100,
  _xlpm.matches, _xlfn._xlws.FILTER(_xlpm.keywords, ISNUMBER(SEARCH(_xlpm.keywords, _xlpm.text))),
  IF(COUNTA(_xlpm.matches) &gt; 0, INDEX(_xlpm.matches, 1), "")
)</f>
        <v>ZBook</v>
      </c>
      <c r="E271" t="str" cm="1">
        <f t="array" ref="E271">_xlfn.LET(
  _xlpm.text, " " &amp; B271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271" t="str">
        <f t="shared" si="4"/>
        <v>https://www8.hp.com/h20195/v2/GetDocument.aspx?docname=c06305136</v>
      </c>
    </row>
    <row r="272" spans="1:7" x14ac:dyDescent="0.25">
      <c r="A272" t="s">
        <v>575</v>
      </c>
      <c r="B272" t="s">
        <v>576</v>
      </c>
      <c r="C272" t="s">
        <v>156</v>
      </c>
      <c r="D272" t="s">
        <v>95</v>
      </c>
      <c r="E272" t="str" cm="1">
        <f t="array" ref="E272">_xlfn.LET(
  _xlpm.text, " " &amp; B272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72" t="str">
        <f t="shared" si="4"/>
        <v>https://www8.hp.com/h20195/v2/GetDocument.aspx?docname=c04123406</v>
      </c>
    </row>
    <row r="273" spans="1:7" x14ac:dyDescent="0.25">
      <c r="A273" t="s">
        <v>577</v>
      </c>
      <c r="B273" t="s">
        <v>578</v>
      </c>
      <c r="C273" t="str" cm="1">
        <f t="array" ref="C273">_xlfn.LET(
  _xlpm.text, B273,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73" t="s">
        <v>1154</v>
      </c>
      <c r="E273" t="str" cm="1">
        <f t="array" ref="E273">_xlfn.LET(
  _xlpm.text, " " &amp; B273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73" t="str">
        <f t="shared" si="4"/>
        <v>https://www8.hp.com/h20195/v2/GetDocument.aspx?docname=c08580553</v>
      </c>
    </row>
    <row r="274" spans="1:7" x14ac:dyDescent="0.25">
      <c r="A274" t="s">
        <v>579</v>
      </c>
      <c r="B274" t="s">
        <v>580</v>
      </c>
      <c r="C274" t="str" cm="1">
        <f t="array" ref="C274">_xlfn.LET(
  _xlpm.text, B274,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74" t="str" cm="1">
        <f t="array" ref="D274">_xlfn.LET(
  _xlpm.text, B274,
  _xlpm.keywords, Category!$A$1:$A$100,
  _xlpm.matches, _xlfn._xlws.FILTER(_xlpm.keywords, ISNUMBER(SEARCH(_xlpm.keywords, _xlpm.text))),
  IF(COUNTA(_xlpm.matches) &gt; 0, INDEX(_xlpm.matches, 1), "")
)</f>
        <v>EliteBook</v>
      </c>
      <c r="E274" t="str" cm="1">
        <f t="array" ref="E274">_xlfn.LET(
  _xlpm.text, " " &amp; B274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74" t="str">
        <f t="shared" si="4"/>
        <v>https://www8.hp.com/h20195/v2/GetDocument.aspx?docname=c08049271</v>
      </c>
    </row>
    <row r="275" spans="1:7" x14ac:dyDescent="0.25">
      <c r="A275" t="s">
        <v>581</v>
      </c>
      <c r="B275" t="s">
        <v>582</v>
      </c>
      <c r="C275" t="str" cm="1">
        <f t="array" ref="C275">_xlfn.LET(
  _xlpm.text, B275,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75" t="s">
        <v>85</v>
      </c>
      <c r="E275" t="str" cm="1">
        <f t="array" ref="E275">_xlfn.LET(
  _xlpm.text, " " &amp; B275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275" t="str">
        <f t="shared" si="4"/>
        <v>https://www8.hp.com/h20195/v2/GetDocument.aspx?docname=c08392795</v>
      </c>
    </row>
    <row r="276" spans="1:7" x14ac:dyDescent="0.25">
      <c r="A276" t="s">
        <v>583</v>
      </c>
      <c r="B276" t="s">
        <v>584</v>
      </c>
      <c r="C276" t="str" cm="1">
        <f t="array" ref="C276">_xlfn.LET(
  _xlpm.text, B276,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276" t="str" cm="1">
        <f t="array" ref="D276">_xlfn.LET(
  _xlpm.text, B276,
  _xlpm.keywords, Category!$A$1:$A$100,
  _xlpm.matches, _xlfn._xlws.FILTER(_xlpm.keywords, ISNUMBER(SEARCH(_xlpm.keywords, _xlpm.text))),
  IF(COUNTA(_xlpm.matches) &gt; 0, INDEX(_xlpm.matches, 1), "")
)</f>
        <v>ProDesk</v>
      </c>
      <c r="E276" t="str" cm="1">
        <f t="array" ref="E276">_xlfn.LET(
  _xlpm.text, " " &amp; B276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76" t="str">
        <f t="shared" si="4"/>
        <v>https://www8.hp.com/h20195/v2/GetDocument.aspx?docname=c07047984</v>
      </c>
    </row>
    <row r="277" spans="1:7" x14ac:dyDescent="0.25">
      <c r="A277" t="s">
        <v>585</v>
      </c>
      <c r="B277" t="s">
        <v>586</v>
      </c>
      <c r="C277" t="s">
        <v>41</v>
      </c>
      <c r="D277" t="s">
        <v>42</v>
      </c>
      <c r="E277" t="str" cm="1">
        <f t="array" ref="E277">_xlfn.LET(
  _xlpm.text, " " &amp; B277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277" t="str">
        <f t="shared" si="4"/>
        <v>https://www8.hp.com/h20195/v2/GetDocument.aspx?docname=c08479498</v>
      </c>
    </row>
    <row r="278" spans="1:7" x14ac:dyDescent="0.25">
      <c r="A278" t="s">
        <v>587</v>
      </c>
      <c r="B278" t="s">
        <v>588</v>
      </c>
      <c r="C278" t="str" cm="1">
        <f t="array" ref="C278">_xlfn.LET(
  _xlpm.text, B278,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78" t="str" cm="1">
        <f t="array" ref="D278">_xlfn.LET(
  _xlpm.text, B278,
  _xlpm.keywords, Category!$A$1:$A$100,
  _xlpm.matches, _xlfn._xlws.FILTER(_xlpm.keywords, ISNUMBER(SEARCH(_xlpm.keywords, _xlpm.text))),
  IF(COUNTA(_xlpm.matches) &gt; 0, INDEX(_xlpm.matches, 1), "")
)</f>
        <v>ZBook</v>
      </c>
      <c r="E278" t="str" cm="1">
        <f t="array" ref="E278">_xlfn.LET(
  _xlpm.text, " " &amp; B278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278" t="str">
        <f t="shared" si="4"/>
        <v>https://www8.hp.com/h20195/v2/GetDocument.aspx?docname=c08620692</v>
      </c>
    </row>
    <row r="279" spans="1:7" x14ac:dyDescent="0.25">
      <c r="A279" t="s">
        <v>589</v>
      </c>
      <c r="B279" t="s">
        <v>590</v>
      </c>
      <c r="C279" t="str" cm="1">
        <f t="array" ref="C279">_xlfn.LET(
  _xlpm.text, B279,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79" t="str" cm="1">
        <f t="array" ref="D279">_xlfn.LET(
  _xlpm.text, B279,
  _xlpm.keywords, Category!$A$1:$A$100,
  _xlpm.matches, _xlfn._xlws.FILTER(_xlpm.keywords, ISNUMBER(SEARCH(_xlpm.keywords, _xlpm.text))),
  IF(COUNTA(_xlpm.matches) &gt; 0, INDEX(_xlpm.matches, 1), "")
)</f>
        <v>Series 5</v>
      </c>
      <c r="E279" t="str" cm="1">
        <f t="array" ref="E279">_xlfn.LET(
  _xlpm.text, " " &amp; B279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79" t="str">
        <f t="shared" si="4"/>
        <v>https://www8.hp.com/h20195/v2/GetDocument.aspx?docname=c09003642</v>
      </c>
    </row>
    <row r="280" spans="1:7" x14ac:dyDescent="0.25">
      <c r="A280" t="s">
        <v>591</v>
      </c>
      <c r="B280" t="s">
        <v>592</v>
      </c>
      <c r="C280" t="str" cm="1">
        <f t="array" ref="C280">_xlfn.LET(
  _xlpm.text, B280,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80" t="str" cm="1">
        <f t="array" ref="D280">_xlfn.LET(
  _xlpm.text, B280,
  _xlpm.keywords, Category!$A$1:$A$100,
  _xlpm.matches, _xlfn._xlws.FILTER(_xlpm.keywords, ISNUMBER(SEARCH(_xlpm.keywords, _xlpm.text))),
  IF(COUNTA(_xlpm.matches) &gt; 0, INDEX(_xlpm.matches, 1), "")
)</f>
        <v>Series 5</v>
      </c>
      <c r="E280" t="str" cm="1">
        <f t="array" ref="E280">_xlfn.LET(
  _xlpm.text, " " &amp; B280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0" t="str">
        <f t="shared" si="4"/>
        <v>https://www8.hp.com/h20195/v2/GetDocument.aspx?docname=c09053141</v>
      </c>
    </row>
    <row r="281" spans="1:7" x14ac:dyDescent="0.25">
      <c r="A281" t="s">
        <v>593</v>
      </c>
      <c r="B281" t="s">
        <v>594</v>
      </c>
      <c r="C281" t="str" cm="1">
        <f t="array" ref="C281">_xlfn.LET(
  _xlpm.text, B281,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81" t="str" cm="1">
        <f t="array" ref="D281">_xlfn.LET(
  _xlpm.text, B281,
  _xlpm.keywords, Category!$A$1:$A$100,
  _xlpm.matches, _xlfn._xlws.FILTER(_xlpm.keywords, ISNUMBER(SEARCH(_xlpm.keywords, _xlpm.text))),
  IF(COUNTA(_xlpm.matches) &gt; 0, INDEX(_xlpm.matches, 1), "")
)</f>
        <v>Series 5</v>
      </c>
      <c r="E281" t="str" cm="1">
        <f t="array" ref="E281">_xlfn.LET(
  _xlpm.text, " " &amp; B281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1" t="str">
        <f t="shared" si="4"/>
        <v>https://www8.hp.com/h20195/v2/GetDocument.aspx?docname=c09053143</v>
      </c>
    </row>
    <row r="282" spans="1:7" x14ac:dyDescent="0.25">
      <c r="A282" t="s">
        <v>595</v>
      </c>
      <c r="B282" t="s">
        <v>596</v>
      </c>
      <c r="C282" t="str" cm="1">
        <f t="array" ref="C282">_xlfn.LET(
  _xlpm.text, B282,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282" t="s">
        <v>1159</v>
      </c>
      <c r="E282" t="str" cm="1">
        <f t="array" ref="E282">_xlfn.LET(
  _xlpm.text, " " &amp; B282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282" t="str">
        <f t="shared" si="4"/>
        <v>https://www8.hp.com/h20195/v2/GetDocument.aspx?docname=c05527757</v>
      </c>
    </row>
    <row r="283" spans="1:7" x14ac:dyDescent="0.25">
      <c r="A283" t="s">
        <v>597</v>
      </c>
      <c r="B283" t="s">
        <v>400</v>
      </c>
      <c r="C283" t="str" cm="1">
        <f t="array" ref="C283">_xlfn.LET(
  _xlpm.text, B283,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83" t="s">
        <v>78</v>
      </c>
      <c r="E283" t="str" cm="1">
        <f t="array" ref="E283">_xlfn.LET(
  _xlpm.text, " " &amp; B283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3" t="str">
        <f t="shared" si="4"/>
        <v>https://www8.hp.com/h20195/v2/GetDocument.aspx?docname=c08133183</v>
      </c>
    </row>
    <row r="284" spans="1:7" x14ac:dyDescent="0.25">
      <c r="A284" t="s">
        <v>598</v>
      </c>
      <c r="B284" t="s">
        <v>599</v>
      </c>
      <c r="C284" t="str" cm="1">
        <f t="array" ref="C284">_xlfn.LET(
  _xlpm.text, B284,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84" t="s">
        <v>1149</v>
      </c>
      <c r="E284" t="str" cm="1">
        <f t="array" ref="E284">_xlfn.LET(
  _xlpm.text, " " &amp; B284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4" t="str">
        <f t="shared" si="4"/>
        <v>https://www8.hp.com/h20195/v2/GetDocument.aspx?docname=c07012337</v>
      </c>
    </row>
    <row r="285" spans="1:7" x14ac:dyDescent="0.25">
      <c r="A285" t="s">
        <v>600</v>
      </c>
      <c r="B285" t="s">
        <v>601</v>
      </c>
      <c r="C285" t="s">
        <v>156</v>
      </c>
      <c r="D285" t="s">
        <v>95</v>
      </c>
      <c r="E285" t="str" cm="1">
        <f t="array" ref="E285">_xlfn.LET(
  _xlpm.text, " " &amp; B285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5" t="str">
        <f t="shared" si="4"/>
        <v>https://www8.hp.com/h20195/v2/GetDocument.aspx?docname=c06468161</v>
      </c>
    </row>
    <row r="286" spans="1:7" x14ac:dyDescent="0.25">
      <c r="A286" t="s">
        <v>602</v>
      </c>
      <c r="B286" t="s">
        <v>603</v>
      </c>
      <c r="C286" t="str" cm="1">
        <f t="array" ref="C286">_xlfn.LET(
  _xlpm.text, B286,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86" t="str" cm="1">
        <f t="array" ref="D286">_xlfn.LET(
  _xlpm.text, B286,
  _xlpm.keywords, Category!$A$1:$A$100,
  _xlpm.matches, _xlfn._xlws.FILTER(_xlpm.keywords, ISNUMBER(SEARCH(_xlpm.keywords, _xlpm.text))),
  IF(COUNTA(_xlpm.matches) &gt; 0, INDEX(_xlpm.matches, 1), "")
)</f>
        <v>Printer</v>
      </c>
      <c r="E286" t="str" cm="1">
        <f t="array" ref="E286">_xlfn.LET(
  _xlpm.text, " " &amp; B286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6" t="str">
        <f t="shared" si="4"/>
        <v>https://www8.hp.com/h20195/v2/GetDocument.aspx?docname=c06431221</v>
      </c>
    </row>
    <row r="287" spans="1:7" x14ac:dyDescent="0.25">
      <c r="A287" t="s">
        <v>604</v>
      </c>
      <c r="B287" t="s">
        <v>605</v>
      </c>
      <c r="C287" t="s">
        <v>156</v>
      </c>
      <c r="D287" t="s">
        <v>145</v>
      </c>
      <c r="E287" t="str" cm="1">
        <f t="array" ref="E287">_xlfn.LET(
  _xlpm.text, " " &amp; B287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7" t="str">
        <f t="shared" si="4"/>
        <v>https://www8.hp.com/h20195/v2/GetDocument.aspx?docname=c08411168</v>
      </c>
    </row>
    <row r="288" spans="1:7" x14ac:dyDescent="0.25">
      <c r="A288" t="s">
        <v>606</v>
      </c>
      <c r="B288" t="s">
        <v>607</v>
      </c>
      <c r="C288" t="str" cm="1">
        <f t="array" ref="C288">_xlfn.LET(
  _xlpm.text, B288,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88" t="s">
        <v>608</v>
      </c>
      <c r="E288" t="str" cm="1">
        <f t="array" ref="E288">_xlfn.LET(
  _xlpm.text, " " &amp; B288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8" t="str">
        <f t="shared" si="4"/>
        <v>https://www8.hp.com/h20195/v2/GetDocument.aspx?docname=c07927484</v>
      </c>
    </row>
    <row r="289" spans="1:7" x14ac:dyDescent="0.25">
      <c r="A289" t="s">
        <v>609</v>
      </c>
      <c r="B289" t="s">
        <v>610</v>
      </c>
      <c r="C289" t="s">
        <v>41</v>
      </c>
      <c r="D289" t="s">
        <v>47</v>
      </c>
      <c r="E289" t="str" cm="1">
        <f t="array" ref="E289">_xlfn.LET(
  _xlpm.text, " " &amp; B289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89" t="str">
        <f t="shared" si="4"/>
        <v>https://www8.hp.com/h20195/v2/GetDocument.aspx?docname=c08960410</v>
      </c>
    </row>
    <row r="290" spans="1:7" x14ac:dyDescent="0.25">
      <c r="A290" t="s">
        <v>611</v>
      </c>
      <c r="B290" t="s">
        <v>612</v>
      </c>
      <c r="C290" t="str" cm="1">
        <f t="array" ref="C290">_xlfn.LET(
  _xlpm.text, B290,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290" t="str" cm="1">
        <f t="array" ref="D290">_xlfn.LET(
  _xlpm.text, B290,
  _xlpm.keywords, Category!$A$1:$A$100,
  _xlpm.matches, _xlfn._xlws.FILTER(_xlpm.keywords, ISNUMBER(SEARCH(_xlpm.keywords, _xlpm.text))),
  IF(COUNTA(_xlpm.matches) &gt; 0, INDEX(_xlpm.matches, 1), "")
)</f>
        <v>Printer</v>
      </c>
      <c r="E290" t="str" cm="1">
        <f t="array" ref="E290">_xlfn.LET(
  _xlpm.text, " " &amp; B290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90" t="str">
        <f t="shared" si="4"/>
        <v>https://www8.hp.com/h20195/v2/GetDocument.aspx?docname=c04123121</v>
      </c>
    </row>
    <row r="291" spans="1:7" x14ac:dyDescent="0.25">
      <c r="A291" t="s">
        <v>613</v>
      </c>
      <c r="B291" t="s">
        <v>614</v>
      </c>
      <c r="C291" t="s">
        <v>156</v>
      </c>
      <c r="D291" t="s">
        <v>1144</v>
      </c>
      <c r="G291" t="str">
        <f t="shared" si="4"/>
        <v>https://www8.hp.com/h20195/v2/GetDocument.aspx?docname=c06014144</v>
      </c>
    </row>
    <row r="292" spans="1:7" x14ac:dyDescent="0.25">
      <c r="A292" t="s">
        <v>615</v>
      </c>
      <c r="B292" t="s">
        <v>616</v>
      </c>
      <c r="C292" t="str" cm="1">
        <f t="array" ref="C292">_xlfn.LET(
  _xlpm.text, B292,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92" t="str" cm="1">
        <f t="array" ref="D292">_xlfn.LET(
  _xlpm.text, B292,
  _xlpm.keywords, Category!$A$1:$A$100,
  _xlpm.matches, _xlfn._xlws.FILTER(_xlpm.keywords, ISNUMBER(SEARCH(_xlpm.keywords, _xlpm.text))),
  IF(COUNTA(_xlpm.matches) &gt; 0, INDEX(_xlpm.matches, 1), "")
)</f>
        <v>ZBook</v>
      </c>
      <c r="E292" t="str" cm="1">
        <f t="array" ref="E292">_xlfn.LET(
  _xlpm.text, " " &amp; B292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92" t="str">
        <f t="shared" si="4"/>
        <v>https://www8.hp.com/h20195/v2/GetDocument.aspx?docname=c07607106</v>
      </c>
    </row>
    <row r="293" spans="1:7" x14ac:dyDescent="0.25">
      <c r="A293" t="s">
        <v>617</v>
      </c>
      <c r="B293" t="s">
        <v>618</v>
      </c>
      <c r="C293" t="str" cm="1">
        <f t="array" ref="C293">_xlfn.LET(
  _xlpm.text, B293,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93" t="str" cm="1">
        <f t="array" ref="D293">_xlfn.LET(
  _xlpm.text, B293,
  _xlpm.keywords, Category!$A$1:$A$100,
  _xlpm.matches, _xlfn._xlws.FILTER(_xlpm.keywords, ISNUMBER(SEARCH(_xlpm.keywords, _xlpm.text))),
  IF(COUNTA(_xlpm.matches) &gt; 0, INDEX(_xlpm.matches, 1), "")
)</f>
        <v>ZBook</v>
      </c>
      <c r="E293" t="str" cm="1">
        <f t="array" ref="E293">_xlfn.LET(
  _xlpm.text, " " &amp; B293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93" t="str">
        <f t="shared" si="4"/>
        <v>https://www8.hp.com/h20195/v2/GetDocument.aspx?docname=c06977950</v>
      </c>
    </row>
    <row r="294" spans="1:7" x14ac:dyDescent="0.25">
      <c r="A294" t="s">
        <v>619</v>
      </c>
      <c r="B294" t="s">
        <v>620</v>
      </c>
      <c r="C294" t="str" cm="1">
        <f t="array" ref="C294">_xlfn.LET(
  _xlpm.text, B294,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294" t="str" cm="1">
        <f t="array" ref="D294">_xlfn.LET(
  _xlpm.text, B294,
  _xlpm.keywords, Category!$A$1:$A$100,
  _xlpm.matches, _xlfn._xlws.FILTER(_xlpm.keywords, ISNUMBER(SEARCH(_xlpm.keywords, _xlpm.text))),
  IF(COUNTA(_xlpm.matches) &gt; 0, INDEX(_xlpm.matches, 1), "")
)</f>
        <v>ZBook</v>
      </c>
      <c r="E294" t="str" cm="1">
        <f t="array" ref="E294">_xlfn.LET(
  _xlpm.text, " " &amp; B294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294" t="str">
        <f t="shared" si="4"/>
        <v>https://www8.hp.com/h20195/v2/GetDocument.aspx?docname=c07606964</v>
      </c>
    </row>
    <row r="295" spans="1:7" x14ac:dyDescent="0.25">
      <c r="A295" t="s">
        <v>621</v>
      </c>
      <c r="B295" t="s">
        <v>622</v>
      </c>
      <c r="C295" t="s">
        <v>41</v>
      </c>
      <c r="D295" t="s">
        <v>21</v>
      </c>
      <c r="E295" t="str" cm="1">
        <f t="array" ref="E295">_xlfn.LET(
  _xlpm.text, " " &amp; B295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95" t="str">
        <f t="shared" si="4"/>
        <v>https://www8.hp.com/h20195/v2/GetDocument.aspx?docname=c08017466</v>
      </c>
    </row>
    <row r="296" spans="1:7" x14ac:dyDescent="0.25">
      <c r="A296" t="s">
        <v>623</v>
      </c>
      <c r="B296" t="s">
        <v>624</v>
      </c>
      <c r="C296" t="str" cm="1">
        <f t="array" ref="C296">_xlfn.LET(
  _xlpm.text, B296,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96" t="str" cm="1">
        <f t="array" ref="D296">_xlfn.LET(
  _xlpm.text, B296,
  _xlpm.keywords, Category!$A$1:$A$100,
  _xlpm.matches, _xlfn._xlws.FILTER(_xlpm.keywords, ISNUMBER(SEARCH(_xlpm.keywords, _xlpm.text))),
  IF(COUNTA(_xlpm.matches) &gt; 0, INDEX(_xlpm.matches, 1), "")
)</f>
        <v>Series 5</v>
      </c>
      <c r="E296" t="str" cm="1">
        <f t="array" ref="E296">_xlfn.LET(
  _xlpm.text, " " &amp; B296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96" t="str">
        <f t="shared" si="4"/>
        <v>https://www8.hp.com/h20195/v2/GetDocument.aspx?docname=c09003643</v>
      </c>
    </row>
    <row r="297" spans="1:7" x14ac:dyDescent="0.25">
      <c r="A297" t="s">
        <v>625</v>
      </c>
      <c r="B297" t="s">
        <v>626</v>
      </c>
      <c r="C297" t="str" cm="1">
        <f t="array" ref="C297">_xlfn.LET(
  _xlpm.text, B297,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97" t="str" cm="1">
        <f t="array" ref="D297">_xlfn.LET(
  _xlpm.text, B297,
  _xlpm.keywords, Category!$A$1:$A$100,
  _xlpm.matches, _xlfn._xlws.FILTER(_xlpm.keywords, ISNUMBER(SEARCH(_xlpm.keywords, _xlpm.text))),
  IF(COUNTA(_xlpm.matches) &gt; 0, INDEX(_xlpm.matches, 1), "")
)</f>
        <v>ProBook</v>
      </c>
      <c r="E297" t="str" cm="1">
        <f t="array" ref="E297">_xlfn.LET(
  _xlpm.text, " " &amp; B297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297" t="str">
        <f t="shared" si="4"/>
        <v>https://www8.hp.com/h20195/v2/GetDocument.aspx?docname=c08007805</v>
      </c>
    </row>
    <row r="298" spans="1:7" x14ac:dyDescent="0.25">
      <c r="A298" t="s">
        <v>627</v>
      </c>
      <c r="B298" t="s">
        <v>628</v>
      </c>
      <c r="C298" t="str" cm="1">
        <f t="array" ref="C298">_xlfn.LET(
  _xlpm.text, B298,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298" t="str" cm="1">
        <f t="array" ref="D298">_xlfn.LET(
  _xlpm.text, B298,
  _xlpm.keywords, Category!$A$1:$A$100,
  _xlpm.matches, _xlfn._xlws.FILTER(_xlpm.keywords, ISNUMBER(SEARCH(_xlpm.keywords, _xlpm.text))),
  IF(COUNTA(_xlpm.matches) &gt; 0, INDEX(_xlpm.matches, 1), "")
)</f>
        <v>Series 3</v>
      </c>
      <c r="E298" t="str" cm="1">
        <f t="array" ref="E298">_xlfn.LET(
  _xlpm.text, " " &amp; B298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298" t="str">
        <f t="shared" si="4"/>
        <v>https://www8.hp.com/h20195/v2/GetDocument.aspx?docname=c08982816</v>
      </c>
    </row>
    <row r="299" spans="1:7" x14ac:dyDescent="0.25">
      <c r="A299" t="s">
        <v>629</v>
      </c>
      <c r="B299" t="s">
        <v>630</v>
      </c>
      <c r="C299" t="str" cm="1">
        <f t="array" ref="C299">_xlfn.LET(
  _xlpm.text, B299,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299" t="str" cm="1">
        <f t="array" ref="D299">_xlfn.LET(
  _xlpm.text, B299,
  _xlpm.keywords, Category!$A$1:$A$100,
  _xlpm.matches, _xlfn._xlws.FILTER(_xlpm.keywords, ISNUMBER(SEARCH(_xlpm.keywords, _xlpm.text))),
  IF(COUNTA(_xlpm.matches) &gt; 0, INDEX(_xlpm.matches, 1), "")
)</f>
        <v>EliteBook</v>
      </c>
      <c r="E299" t="str" cm="1">
        <f t="array" ref="E299">_xlfn.LET(
  _xlpm.text, " " &amp; B299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299" t="str">
        <f t="shared" si="4"/>
        <v>https://www8.hp.com/h20195/v2/GetDocument.aspx?docname=c08487730</v>
      </c>
    </row>
    <row r="300" spans="1:7" x14ac:dyDescent="0.25">
      <c r="A300" t="s">
        <v>631</v>
      </c>
      <c r="B300" t="s">
        <v>632</v>
      </c>
      <c r="C300" t="str" cm="1">
        <f t="array" ref="C300">_xlfn.LET(
  _xlpm.text, B300,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00" t="str" cm="1">
        <f t="array" ref="D300">_xlfn.LET(
  _xlpm.text, B300,
  _xlpm.keywords, Category!$A$1:$A$100,
  _xlpm.matches, _xlfn._xlws.FILTER(_xlpm.keywords, ISNUMBER(SEARCH(_xlpm.keywords, _xlpm.text))),
  IF(COUNTA(_xlpm.matches) &gt; 0, INDEX(_xlpm.matches, 1), "")
)</f>
        <v>EliteBook</v>
      </c>
      <c r="E300" t="str" cm="1">
        <f t="array" ref="E300">_xlfn.LET(
  _xlpm.text, " " &amp; B300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00" t="str">
        <f t="shared" si="4"/>
        <v>https://www8.hp.com/h20195/v2/GetDocument.aspx?docname=c08049272</v>
      </c>
    </row>
    <row r="301" spans="1:7" x14ac:dyDescent="0.25">
      <c r="A301" t="s">
        <v>633</v>
      </c>
      <c r="B301" t="s">
        <v>634</v>
      </c>
      <c r="C301" t="str" cm="1">
        <f t="array" ref="C301">_xlfn.LET(
  _xlpm.text, B301,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01" t="s">
        <v>85</v>
      </c>
      <c r="E301" t="str" cm="1">
        <f t="array" ref="E301">_xlfn.LET(
  _xlpm.text, " " &amp; B301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01" t="str">
        <f t="shared" si="4"/>
        <v>https://www8.hp.com/h20195/v2/GetDocument.aspx?docname=c08423193</v>
      </c>
    </row>
    <row r="302" spans="1:7" x14ac:dyDescent="0.25">
      <c r="A302" t="s">
        <v>635</v>
      </c>
      <c r="B302" t="s">
        <v>636</v>
      </c>
      <c r="C302" t="str" cm="1">
        <f t="array" ref="C302">_xlfn.LET(
  _xlpm.text, B302,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02" t="str" cm="1">
        <f t="array" ref="D302">_xlfn.LET(
  _xlpm.text, B302,
  _xlpm.keywords, Category!$A$1:$A$100,
  _xlpm.matches, _xlfn._xlws.FILTER(_xlpm.keywords, ISNUMBER(SEARCH(_xlpm.keywords, _xlpm.text))),
  IF(COUNTA(_xlpm.matches) &gt; 0, INDEX(_xlpm.matches, 1), "")
)</f>
        <v>Series 3</v>
      </c>
      <c r="E302" t="str" cm="1">
        <f t="array" ref="E302">_xlfn.LET(
  _xlpm.text, " " &amp; B302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02" t="str">
        <f t="shared" si="4"/>
        <v>https://www8.hp.com/h20195/v2/GetDocument.aspx?docname=c09053766</v>
      </c>
    </row>
    <row r="303" spans="1:7" x14ac:dyDescent="0.25">
      <c r="A303" t="s">
        <v>637</v>
      </c>
      <c r="B303" t="s">
        <v>638</v>
      </c>
      <c r="C303" t="str" cm="1">
        <f t="array" ref="C303">_xlfn.LET(
  _xlpm.text, B303,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03" t="str" cm="1">
        <f t="array" ref="D303">_xlfn.LET(
  _xlpm.text, B303,
  _xlpm.keywords, Category!$A$1:$A$100,
  _xlpm.matches, _xlfn._xlws.FILTER(_xlpm.keywords, ISNUMBER(SEARCH(_xlpm.keywords, _xlpm.text))),
  IF(COUNTA(_xlpm.matches) &gt; 0, INDEX(_xlpm.matches, 1), "")
)</f>
        <v>ChromeBook</v>
      </c>
      <c r="E303" t="str" cm="1">
        <f t="array" ref="E303">_xlfn.LET(
  _xlpm.text, " " &amp; B303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303" t="str">
        <f t="shared" si="4"/>
        <v>https://www8.hp.com/h20195/v2/GetDocument.aspx?docname=c08152872</v>
      </c>
    </row>
    <row r="304" spans="1:7" x14ac:dyDescent="0.25">
      <c r="A304" t="s">
        <v>639</v>
      </c>
      <c r="B304" t="s">
        <v>640</v>
      </c>
      <c r="C304" t="str" cm="1">
        <f t="array" ref="C304">_xlfn.LET(
  _xlpm.text, B304,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04" t="str" cm="1">
        <f t="array" ref="D304">_xlfn.LET(
  _xlpm.text, B304,
  _xlpm.keywords, Category!$A$1:$A$100,
  _xlpm.matches, _xlfn._xlws.FILTER(_xlpm.keywords, ISNUMBER(SEARCH(_xlpm.keywords, _xlpm.text))),
  IF(COUNTA(_xlpm.matches) &gt; 0, INDEX(_xlpm.matches, 1), "")
)</f>
        <v>Engage</v>
      </c>
      <c r="E304" t="str" cm="1">
        <f t="array" ref="E304">_xlfn.LET(
  _xlpm.text, " " &amp; B304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04" t="str">
        <f t="shared" si="4"/>
        <v>https://www8.hp.com/h20195/v2/GetDocument.aspx?docname=c06102173</v>
      </c>
    </row>
    <row r="305" spans="1:7" x14ac:dyDescent="0.25">
      <c r="A305" t="s">
        <v>641</v>
      </c>
      <c r="B305" t="s">
        <v>642</v>
      </c>
      <c r="C305" t="str" cm="1">
        <f t="array" ref="C305">_xlfn.LET(
  _xlpm.text, B305,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05" t="s">
        <v>75</v>
      </c>
      <c r="E305" t="str" cm="1">
        <f t="array" ref="E305">_xlfn.LET(
  _xlpm.text, " " &amp; B305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05" t="str">
        <f t="shared" si="4"/>
        <v>https://www8.hp.com/h20195/v2/GetDocument.aspx?docname=c08262306</v>
      </c>
    </row>
    <row r="306" spans="1:7" x14ac:dyDescent="0.25">
      <c r="A306" t="s">
        <v>643</v>
      </c>
      <c r="B306" t="s">
        <v>644</v>
      </c>
      <c r="C306" t="s">
        <v>41</v>
      </c>
      <c r="D306" t="s">
        <v>21</v>
      </c>
      <c r="E306" t="str" cm="1">
        <f t="array" ref="E306">_xlfn.LET(
  _xlpm.text, " " &amp; B306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06" t="str">
        <f t="shared" si="4"/>
        <v>https://www8.hp.com/h20195/v2/GetDocument.aspx?docname=c08017465</v>
      </c>
    </row>
    <row r="307" spans="1:7" x14ac:dyDescent="0.25">
      <c r="A307" t="s">
        <v>645</v>
      </c>
      <c r="B307" t="s">
        <v>646</v>
      </c>
      <c r="C307" t="str" cm="1">
        <f t="array" ref="C307">_xlfn.LET(
  _xlpm.text, B307,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307" t="str" cm="1">
        <f t="array" ref="D307">_xlfn.LET(
  _xlpm.text, B307,
  _xlpm.keywords, Category!$A$1:$A$100,
  _xlpm.matches, _xlfn._xlws.FILTER(_xlpm.keywords, ISNUMBER(SEARCH(_xlpm.keywords, _xlpm.text))),
  IF(COUNTA(_xlpm.matches) &gt; 0, INDEX(_xlpm.matches, 1), "")
)</f>
        <v>ZBook</v>
      </c>
      <c r="E307" t="str" cm="1">
        <f t="array" ref="E307">_xlfn.LET(
  _xlpm.text, " " &amp; B307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07" t="str">
        <f t="shared" si="4"/>
        <v>https://www8.hp.com/h20195/v2/GetDocument.aspx?docname=c08937569</v>
      </c>
    </row>
    <row r="308" spans="1:7" x14ac:dyDescent="0.25">
      <c r="A308" t="s">
        <v>647</v>
      </c>
      <c r="B308" t="s">
        <v>648</v>
      </c>
      <c r="C308" t="str" cm="1">
        <f t="array" ref="C308">_xlfn.LET(
  _xlpm.text, B308,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08" t="s">
        <v>1159</v>
      </c>
      <c r="E308" t="str" cm="1">
        <f t="array" ref="E308">_xlfn.LET(
  _xlpm.text, " " &amp; B308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08" t="str">
        <f t="shared" si="4"/>
        <v>https://www8.hp.com/h20195/v2/GetDocument.aspx?docname=c08481321</v>
      </c>
    </row>
    <row r="309" spans="1:7" x14ac:dyDescent="0.25">
      <c r="A309" t="s">
        <v>649</v>
      </c>
      <c r="B309" t="s">
        <v>650</v>
      </c>
      <c r="C309" t="str" cm="1">
        <f t="array" ref="C309">_xlfn.LET(
  _xlpm.text, B309,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09" t="s">
        <v>1159</v>
      </c>
      <c r="E309" t="str" cm="1">
        <f t="array" ref="E309">_xlfn.LET(
  _xlpm.text, " " &amp; B309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09" t="str">
        <f t="shared" si="4"/>
        <v>https://www8.hp.com/h20195/v2/GetDocument.aspx?docname=c08703891</v>
      </c>
    </row>
    <row r="310" spans="1:7" x14ac:dyDescent="0.25">
      <c r="A310" t="s">
        <v>651</v>
      </c>
      <c r="B310" t="s">
        <v>652</v>
      </c>
      <c r="C310" t="str" cm="1">
        <f t="array" ref="C310">_xlfn.LET(
  _xlpm.text, B310,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10" t="s">
        <v>1159</v>
      </c>
      <c r="E310" t="str" cm="1">
        <f t="array" ref="E310">_xlfn.LET(
  _xlpm.text, " " &amp; B310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10" t="str">
        <f t="shared" si="4"/>
        <v>https://www8.hp.com/h20195/v2/GetDocument.aspx?docname=c08482167</v>
      </c>
    </row>
    <row r="311" spans="1:7" x14ac:dyDescent="0.25">
      <c r="A311" t="s">
        <v>653</v>
      </c>
      <c r="B311" t="s">
        <v>654</v>
      </c>
      <c r="C311" t="str" cm="1">
        <f t="array" ref="C311">_xlfn.LET(
  _xlpm.text, B311,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11" t="s">
        <v>21</v>
      </c>
      <c r="E311" t="str" cm="1">
        <f t="array" ref="E311">_xlfn.LET(
  _xlpm.text, " " &amp; B311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11" t="str">
        <f t="shared" si="4"/>
        <v>https://www8.hp.com/h20195/v2/GetDocument.aspx?docname=c08183681</v>
      </c>
    </row>
    <row r="312" spans="1:7" x14ac:dyDescent="0.25">
      <c r="A312" t="s">
        <v>655</v>
      </c>
      <c r="B312" t="s">
        <v>656</v>
      </c>
      <c r="C312" t="str" cm="1">
        <f t="array" ref="C312">_xlfn.LET(
  _xlpm.text, B312,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12" t="s">
        <v>1154</v>
      </c>
      <c r="E312" t="str" cm="1">
        <f t="array" ref="E312">_xlfn.LET(
  _xlpm.text, " " &amp; B312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312" t="str">
        <f t="shared" si="4"/>
        <v>https://www8.hp.com/h20195/v2/GetDocument.aspx?docname=c08916513</v>
      </c>
    </row>
    <row r="313" spans="1:7" x14ac:dyDescent="0.25">
      <c r="A313" t="s">
        <v>657</v>
      </c>
      <c r="B313" t="s">
        <v>658</v>
      </c>
      <c r="C313" t="str" cm="1">
        <f t="array" ref="C313">_xlfn.LET(
  _xlpm.text, B313,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13" t="str" cm="1">
        <f t="array" ref="D313">_xlfn.LET(
  _xlpm.text, B313,
  _xlpm.keywords, Category!$A$1:$A$100,
  _xlpm.matches, _xlfn._xlws.FILTER(_xlpm.keywords, ISNUMBER(SEARCH(_xlpm.keywords, _xlpm.text))),
  IF(COUNTA(_xlpm.matches) &gt; 0, INDEX(_xlpm.matches, 1), "")
)</f>
        <v>ChromeBook</v>
      </c>
      <c r="E313" t="str" cm="1">
        <f t="array" ref="E313">_xlfn.LET(
  _xlpm.text, " " &amp; B313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13" t="str">
        <f t="shared" si="4"/>
        <v>https://www8.hp.com/h20195/v2/GetDocument.aspx?docname=c08818351</v>
      </c>
    </row>
    <row r="314" spans="1:7" x14ac:dyDescent="0.25">
      <c r="A314" t="s">
        <v>659</v>
      </c>
      <c r="B314" t="s">
        <v>660</v>
      </c>
      <c r="C314" t="str" cm="1">
        <f t="array" ref="C314">_xlfn.LET(
  _xlpm.text, B314,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314" t="str" cm="1">
        <f t="array" ref="D314">_xlfn.LET(
  _xlpm.text, B314,
  _xlpm.keywords, Category!$A$1:$A$100,
  _xlpm.matches, _xlfn._xlws.FILTER(_xlpm.keywords, ISNUMBER(SEARCH(_xlpm.keywords, _xlpm.text))),
  IF(COUNTA(_xlpm.matches) &gt; 0, INDEX(_xlpm.matches, 1), "")
)</f>
        <v>Thin Client</v>
      </c>
      <c r="E314" t="str" cm="1">
        <f t="array" ref="E314">_xlfn.LET(
  _xlpm.text, " " &amp; B314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14" t="str">
        <f t="shared" si="4"/>
        <v>https://www8.hp.com/h20195/v2/GetDocument.aspx?docname=c09086134</v>
      </c>
    </row>
    <row r="315" spans="1:7" x14ac:dyDescent="0.25">
      <c r="A315" t="s">
        <v>661</v>
      </c>
      <c r="B315" t="s">
        <v>662</v>
      </c>
      <c r="C315" t="str" cm="1">
        <f t="array" ref="C315">_xlfn.LET(
  _xlpm.text, B315,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15" t="s">
        <v>1159</v>
      </c>
      <c r="E315" t="str" cm="1">
        <f t="array" ref="E315">_xlfn.LET(
  _xlpm.text, " " &amp; B315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15" t="str">
        <f t="shared" si="4"/>
        <v>https://www8.hp.com/h20195/v2/GetDocument.aspx?docname=c08821385</v>
      </c>
    </row>
    <row r="316" spans="1:7" x14ac:dyDescent="0.25">
      <c r="A316" t="s">
        <v>663</v>
      </c>
      <c r="B316" t="s">
        <v>664</v>
      </c>
      <c r="C316" t="s">
        <v>41</v>
      </c>
      <c r="D316" t="s">
        <v>21</v>
      </c>
      <c r="E316" t="str" cm="1">
        <f t="array" ref="E316">_xlfn.LET(
  _xlpm.text, " " &amp; B316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16" t="str">
        <f t="shared" si="4"/>
        <v>https://www8.hp.com/h20195/v2/GetDocument.aspx?docname=c09073627</v>
      </c>
    </row>
    <row r="317" spans="1:7" x14ac:dyDescent="0.25">
      <c r="A317" t="s">
        <v>665</v>
      </c>
      <c r="B317" t="s">
        <v>666</v>
      </c>
      <c r="C317" t="str" cm="1">
        <f t="array" ref="C317">_xlfn.LET(
  _xlpm.text, B317,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17" t="s">
        <v>1157</v>
      </c>
      <c r="E317" t="str" cm="1">
        <f t="array" ref="E317">_xlfn.LET(
  _xlpm.text, " " &amp; B317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17" t="str">
        <f t="shared" si="4"/>
        <v>https://www8.hp.com/h20195/v2/GetDocument.aspx?docname=c08148299</v>
      </c>
    </row>
    <row r="318" spans="1:7" x14ac:dyDescent="0.25">
      <c r="A318" t="s">
        <v>667</v>
      </c>
      <c r="B318" t="s">
        <v>668</v>
      </c>
      <c r="C318" t="str" cm="1">
        <f t="array" ref="C318">_xlfn.LET(
  _xlpm.text, B318,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18" t="str" cm="1">
        <f t="array" ref="D318">_xlfn.LET(
  _xlpm.text, B318,
  _xlpm.keywords, Category!$A$1:$A$100,
  _xlpm.matches, _xlfn._xlws.FILTER(_xlpm.keywords, ISNUMBER(SEARCH(_xlpm.keywords, _xlpm.text))),
  IF(COUNTA(_xlpm.matches) &gt; 0, INDEX(_xlpm.matches, 1), "")
)</f>
        <v>EliteBook</v>
      </c>
      <c r="E318" t="str" cm="1">
        <f t="array" ref="E318">_xlfn.LET(
  _xlpm.text, " " &amp; B318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18" t="str">
        <f t="shared" si="4"/>
        <v>https://www8.hp.com/h20195/v2/GetDocument.aspx?docname=c09097613</v>
      </c>
    </row>
    <row r="319" spans="1:7" x14ac:dyDescent="0.25">
      <c r="A319" t="s">
        <v>669</v>
      </c>
      <c r="B319" t="s">
        <v>670</v>
      </c>
      <c r="C319" t="str" cm="1">
        <f t="array" ref="C319">_xlfn.LET(
  _xlpm.text, B319,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19" t="str" cm="1">
        <f t="array" ref="D319">_xlfn.LET(
  _xlpm.text, B319,
  _xlpm.keywords, Category!$A$1:$A$100,
  _xlpm.matches, _xlfn._xlws.FILTER(_xlpm.keywords, ISNUMBER(SEARCH(_xlpm.keywords, _xlpm.text))),
  IF(COUNTA(_xlpm.matches) &gt; 0, INDEX(_xlpm.matches, 1), "")
)</f>
        <v>EliteBook</v>
      </c>
      <c r="E319" t="str" cm="1">
        <f t="array" ref="E319">_xlfn.LET(
  _xlpm.text, " " &amp; B319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19" t="str">
        <f t="shared" si="4"/>
        <v>https://www8.hp.com/h20195/v2/GetDocument.aspx?docname=c09097612</v>
      </c>
    </row>
    <row r="320" spans="1:7" x14ac:dyDescent="0.25">
      <c r="A320" t="s">
        <v>671</v>
      </c>
      <c r="B320" t="s">
        <v>672</v>
      </c>
      <c r="C320" t="s">
        <v>41</v>
      </c>
      <c r="D320" t="s">
        <v>224</v>
      </c>
      <c r="E320" t="str" cm="1">
        <f t="array" ref="E320">_xlfn.LET(
  _xlpm.text, " " &amp; B320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0" t="str">
        <f t="shared" si="4"/>
        <v>https://www8.hp.com/h20195/v2/GetDocument.aspx?docname=c08908274</v>
      </c>
    </row>
    <row r="321" spans="1:7" x14ac:dyDescent="0.25">
      <c r="A321" t="s">
        <v>673</v>
      </c>
      <c r="B321" t="s">
        <v>674</v>
      </c>
      <c r="C321" t="str" cm="1">
        <f t="array" ref="C321">_xlfn.LET(
  _xlpm.text, B321,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1" t="str" cm="1">
        <f t="array" ref="D321">_xlfn.LET(
  _xlpm.text, B321,
  _xlpm.keywords, Category!$A$1:$A$100,
  _xlpm.matches, _xlfn._xlws.FILTER(_xlpm.keywords, ISNUMBER(SEARCH(_xlpm.keywords, _xlpm.text))),
  IF(COUNTA(_xlpm.matches) &gt; 0, INDEX(_xlpm.matches, 1), "")
)</f>
        <v>EliteBook</v>
      </c>
      <c r="E321" t="str" cm="1">
        <f t="array" ref="E321">_xlfn.LET(
  _xlpm.text, " " &amp; B321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1" t="str">
        <f t="shared" ref="G321:G384" si="5">_xlfn.CONCAT("https://www8.hp.com/h20195/v2/GetDocument.aspx?docname=",A321)</f>
        <v>https://www8.hp.com/h20195/v2/GetDocument.aspx?docname=c08908273</v>
      </c>
    </row>
    <row r="322" spans="1:7" x14ac:dyDescent="0.25">
      <c r="A322" t="s">
        <v>675</v>
      </c>
      <c r="B322" t="s">
        <v>676</v>
      </c>
      <c r="C322" t="str" cm="1">
        <f t="array" ref="C322">_xlfn.LET(
  _xlpm.text, B322,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2" t="str" cm="1">
        <f t="array" ref="D322">_xlfn.LET(
  _xlpm.text, B322,
  _xlpm.keywords, Category!$A$1:$A$100,
  _xlpm.matches, _xlfn._xlws.FILTER(_xlpm.keywords, ISNUMBER(SEARCH(_xlpm.keywords, _xlpm.text))),
  IF(COUNTA(_xlpm.matches) &gt; 0, INDEX(_xlpm.matches, 1), "")
)</f>
        <v>EliteBook</v>
      </c>
      <c r="E322" t="str" cm="1">
        <f t="array" ref="E322">_xlfn.LET(
  _xlpm.text, " " &amp; B322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2" t="str">
        <f t="shared" si="5"/>
        <v>https://www8.hp.com/h20195/v2/GetDocument.aspx?docname=c08915793</v>
      </c>
    </row>
    <row r="323" spans="1:7" x14ac:dyDescent="0.25">
      <c r="A323" t="s">
        <v>677</v>
      </c>
      <c r="B323" t="s">
        <v>678</v>
      </c>
      <c r="C323" t="str" cm="1">
        <f t="array" ref="C323">_xlfn.LET(
  _xlpm.text, B323,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3" t="str" cm="1">
        <f t="array" ref="D323">_xlfn.LET(
  _xlpm.text, B323,
  _xlpm.keywords, Category!$A$1:$A$100,
  _xlpm.matches, _xlfn._xlws.FILTER(_xlpm.keywords, ISNUMBER(SEARCH(_xlpm.keywords, _xlpm.text))),
  IF(COUNTA(_xlpm.matches) &gt; 0, INDEX(_xlpm.matches, 1), "")
)</f>
        <v>EliteBook</v>
      </c>
      <c r="E323" t="str" cm="1">
        <f t="array" ref="E323">_xlfn.LET(
  _xlpm.text, " " &amp; B323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3" t="str">
        <f t="shared" si="5"/>
        <v>https://www8.hp.com/h20195/v2/GetDocument.aspx?docname=c08915794</v>
      </c>
    </row>
    <row r="324" spans="1:7" x14ac:dyDescent="0.25">
      <c r="A324" t="s">
        <v>679</v>
      </c>
      <c r="B324" t="s">
        <v>680</v>
      </c>
      <c r="C324" t="str" cm="1">
        <f t="array" ref="C324">_xlfn.LET(
  _xlpm.text, B324,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24" t="str" cm="1">
        <f t="array" ref="D324">_xlfn.LET(
  _xlpm.text, B324,
  _xlpm.keywords, Category!$A$1:$A$100,
  _xlpm.matches, _xlfn._xlws.FILTER(_xlpm.keywords, ISNUMBER(SEARCH(_xlpm.keywords, _xlpm.text))),
  IF(COUNTA(_xlpm.matches) &gt; 0, INDEX(_xlpm.matches, 1), "")
)</f>
        <v>ProDesk</v>
      </c>
      <c r="E324" t="str" cm="1">
        <f t="array" ref="E324">_xlfn.LET(
  _xlpm.text, " " &amp; B324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24" t="str">
        <f t="shared" si="5"/>
        <v>https://www8.hp.com/h20195/v2/GetDocument.aspx?docname=c09085102</v>
      </c>
    </row>
    <row r="325" spans="1:7" x14ac:dyDescent="0.25">
      <c r="A325" t="s">
        <v>681</v>
      </c>
      <c r="B325" t="s">
        <v>682</v>
      </c>
      <c r="C325" t="s">
        <v>59</v>
      </c>
      <c r="D325" t="s">
        <v>1159</v>
      </c>
      <c r="E325" t="str" cm="1">
        <f t="array" ref="E325">_xlfn.LET(
  _xlpm.text, " " &amp; B325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25" t="str">
        <f t="shared" si="5"/>
        <v>https://www8.hp.com/h20195/v2/GetDocument.aspx?docname=c09133724</v>
      </c>
    </row>
    <row r="326" spans="1:7" x14ac:dyDescent="0.25">
      <c r="A326" t="s">
        <v>683</v>
      </c>
      <c r="B326" t="s">
        <v>684</v>
      </c>
      <c r="C326" t="str" cm="1">
        <f t="array" ref="C326">_xlfn.LET(
  _xlpm.text, B326,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6" t="str" cm="1">
        <f t="array" ref="D326">_xlfn.LET(
  _xlpm.text, B326,
  _xlpm.keywords, Category!$A$1:$A$100,
  _xlpm.matches, _xlfn._xlws.FILTER(_xlpm.keywords, ISNUMBER(SEARCH(_xlpm.keywords, _xlpm.text))),
  IF(COUNTA(_xlpm.matches) &gt; 0, INDEX(_xlpm.matches, 1), "")
)</f>
        <v>EliteBook</v>
      </c>
      <c r="E326" t="str" cm="1">
        <f t="array" ref="E326">_xlfn.LET(
  _xlpm.text, " " &amp; B326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26" t="str">
        <f t="shared" si="5"/>
        <v>https://www8.hp.com/h20195/v2/GetDocument.aspx?docname=c09059224</v>
      </c>
    </row>
    <row r="327" spans="1:7" x14ac:dyDescent="0.25">
      <c r="A327" t="s">
        <v>685</v>
      </c>
      <c r="B327" t="s">
        <v>686</v>
      </c>
      <c r="C327" t="str" cm="1">
        <f t="array" ref="C327">_xlfn.LET(
  _xlpm.text, B327,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27" t="s">
        <v>1153</v>
      </c>
      <c r="E327" t="str" cm="1">
        <f t="array" ref="E327">_xlfn.LET(
  _xlpm.text, " " &amp; B327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27" t="str">
        <f t="shared" si="5"/>
        <v>https://www8.hp.com/h20195/v2/GetDocument.aspx?docname=c08017709</v>
      </c>
    </row>
    <row r="328" spans="1:7" x14ac:dyDescent="0.25">
      <c r="A328" t="s">
        <v>687</v>
      </c>
      <c r="B328" t="s">
        <v>688</v>
      </c>
      <c r="C328" t="str" cm="1">
        <f t="array" ref="C328">_xlfn.LET(
  _xlpm.text, B328,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8" t="str" cm="1">
        <f t="array" ref="D328">_xlfn.LET(
  _xlpm.text, B328,
  _xlpm.keywords, Category!$A$1:$A$100,
  _xlpm.matches, _xlfn._xlws.FILTER(_xlpm.keywords, ISNUMBER(SEARCH(_xlpm.keywords, _xlpm.text))),
  IF(COUNTA(_xlpm.matches) &gt; 0, INDEX(_xlpm.matches, 1), "")
)</f>
        <v>ProBook</v>
      </c>
      <c r="E328" t="str" cm="1">
        <f t="array" ref="E328">_xlfn.LET(
  _xlpm.text, " " &amp; B328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8" t="str">
        <f t="shared" si="5"/>
        <v>https://www8.hp.com/h20195/v2/GetDocument.aspx?docname=c08908496</v>
      </c>
    </row>
    <row r="329" spans="1:7" x14ac:dyDescent="0.25">
      <c r="A329" t="s">
        <v>689</v>
      </c>
      <c r="B329" t="s">
        <v>690</v>
      </c>
      <c r="C329" t="str" cm="1">
        <f t="array" ref="C329">_xlfn.LET(
  _xlpm.text, B329,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29" t="str" cm="1">
        <f t="array" ref="D329">_xlfn.LET(
  _xlpm.text, B329,
  _xlpm.keywords, Category!$A$1:$A$100,
  _xlpm.matches, _xlfn._xlws.FILTER(_xlpm.keywords, ISNUMBER(SEARCH(_xlpm.keywords, _xlpm.text))),
  IF(COUNTA(_xlpm.matches) &gt; 0, INDEX(_xlpm.matches, 1), "")
)</f>
        <v>ProBook</v>
      </c>
      <c r="E329" t="str" cm="1">
        <f t="array" ref="E329">_xlfn.LET(
  _xlpm.text, " " &amp; B329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29" t="str">
        <f t="shared" si="5"/>
        <v>https://www8.hp.com/h20195/v2/GetDocument.aspx?docname=c08915560</v>
      </c>
    </row>
    <row r="330" spans="1:7" x14ac:dyDescent="0.25">
      <c r="A330" t="s">
        <v>691</v>
      </c>
      <c r="B330" t="s">
        <v>692</v>
      </c>
      <c r="C330" t="str" cm="1">
        <f t="array" ref="C330">_xlfn.LET(
  _xlpm.text, B330,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30" t="str" cm="1">
        <f t="array" ref="D330">_xlfn.LET(
  _xlpm.text, B330,
  _xlpm.keywords, Category!$A$1:$A$100,
  _xlpm.matches, _xlfn._xlws.FILTER(_xlpm.keywords, ISNUMBER(SEARCH(_xlpm.keywords, _xlpm.text))),
  IF(COUNTA(_xlpm.matches) &gt; 0, INDEX(_xlpm.matches, 1), "")
)</f>
        <v>EliteBook</v>
      </c>
      <c r="E330" t="str" cm="1">
        <f t="array" ref="E330">_xlfn.LET(
  _xlpm.text, " " &amp; B330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30" t="str">
        <f t="shared" si="5"/>
        <v>https://www8.hp.com/h20195/v2/GetDocument.aspx?docname=c09120198</v>
      </c>
    </row>
    <row r="331" spans="1:7" x14ac:dyDescent="0.25">
      <c r="A331" t="s">
        <v>693</v>
      </c>
      <c r="B331" t="s">
        <v>694</v>
      </c>
      <c r="C331" t="str" cm="1">
        <f t="array" ref="C331">_xlfn.LET(
  _xlpm.text, B331,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31" t="str" cm="1">
        <f t="array" ref="D331">_xlfn.LET(
  _xlpm.text, B331,
  _xlpm.keywords, Category!$A$1:$A$100,
  _xlpm.matches, _xlfn._xlws.FILTER(_xlpm.keywords, ISNUMBER(SEARCH(_xlpm.keywords, _xlpm.text))),
  IF(COUNTA(_xlpm.matches) &gt; 0, INDEX(_xlpm.matches, 1), "")
)</f>
        <v>EliteBook</v>
      </c>
      <c r="E331" t="str" cm="1">
        <f t="array" ref="E331">_xlfn.LET(
  _xlpm.text, " " &amp; B331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31" t="str">
        <f t="shared" si="5"/>
        <v>https://www8.hp.com/h20195/v2/GetDocument.aspx?docname=c09120199</v>
      </c>
    </row>
    <row r="332" spans="1:7" x14ac:dyDescent="0.25">
      <c r="A332" t="s">
        <v>695</v>
      </c>
      <c r="B332" t="s">
        <v>696</v>
      </c>
      <c r="C332" t="str" cm="1">
        <f t="array" ref="C332">_xlfn.LET(
  _xlpm.text, B332,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32" t="str" cm="1">
        <f t="array" ref="D332">_xlfn.LET(
  _xlpm.text, B332,
  _xlpm.keywords, Category!$A$1:$A$100,
  _xlpm.matches, _xlfn._xlws.FILTER(_xlpm.keywords, ISNUMBER(SEARCH(_xlpm.keywords, _xlpm.text))),
  IF(COUNTA(_xlpm.matches) &gt; 0, INDEX(_xlpm.matches, 1), "")
)</f>
        <v>Fortis</v>
      </c>
      <c r="E332" t="str" cm="1">
        <f t="array" ref="E332">_xlfn.LET(
  _xlpm.text, " " &amp; B332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32" t="str">
        <f t="shared" si="5"/>
        <v>https://www8.hp.com/h20195/v2/GetDocument.aspx?docname=c07856866</v>
      </c>
    </row>
    <row r="333" spans="1:7" x14ac:dyDescent="0.25">
      <c r="A333" t="s">
        <v>697</v>
      </c>
      <c r="B333" t="s">
        <v>698</v>
      </c>
      <c r="C333" t="s">
        <v>41</v>
      </c>
      <c r="D333" t="s">
        <v>42</v>
      </c>
      <c r="E333" t="str" cm="1">
        <f t="array" ref="E333">_xlfn.LET(
  _xlpm.text, " " &amp; B333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33" t="str">
        <f t="shared" si="5"/>
        <v>https://www8.hp.com/h20195/v2/GetDocument.aspx?docname=c08438689</v>
      </c>
    </row>
    <row r="334" spans="1:7" x14ac:dyDescent="0.25">
      <c r="A334" t="s">
        <v>699</v>
      </c>
      <c r="B334" t="s">
        <v>700</v>
      </c>
      <c r="C334" t="str" cm="1">
        <f t="array" ref="C334">_xlfn.LET(
  _xlpm.text, B334,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34" t="s">
        <v>21</v>
      </c>
      <c r="E334" t="str" cm="1">
        <f t="array" ref="E334">_xlfn.LET(
  _xlpm.text, " " &amp; B334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34" t="str">
        <f t="shared" si="5"/>
        <v>https://www8.hp.com/h20195/v2/GetDocument.aspx?docname=c07933724</v>
      </c>
    </row>
    <row r="335" spans="1:7" x14ac:dyDescent="0.25">
      <c r="A335" t="s">
        <v>701</v>
      </c>
      <c r="B335" t="s">
        <v>702</v>
      </c>
      <c r="C335" t="s">
        <v>41</v>
      </c>
      <c r="D335" t="s">
        <v>21</v>
      </c>
      <c r="E335" t="str" cm="1">
        <f t="array" ref="E335">_xlfn.LET(
  _xlpm.text, " " &amp; B335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35" t="str">
        <f t="shared" si="5"/>
        <v>https://www8.hp.com/h20195/v2/GetDocument.aspx?docname=c09073626</v>
      </c>
    </row>
    <row r="336" spans="1:7" x14ac:dyDescent="0.25">
      <c r="A336" t="s">
        <v>703</v>
      </c>
      <c r="B336" t="s">
        <v>704</v>
      </c>
      <c r="C336" t="str" cm="1">
        <f t="array" ref="C336">_xlfn.LET(
  _xlpm.text, B336,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36" t="str" cm="1">
        <f t="array" ref="D336">_xlfn.LET(
  _xlpm.text, B336,
  _xlpm.keywords, Category!$A$1:$A$100,
  _xlpm.matches, _xlfn._xlws.FILTER(_xlpm.keywords, ISNUMBER(SEARCH(_xlpm.keywords, _xlpm.text))),
  IF(COUNTA(_xlpm.matches) &gt; 0, INDEX(_xlpm.matches, 1), "")
)</f>
        <v>ProDesk</v>
      </c>
      <c r="E336" t="str" cm="1">
        <f t="array" ref="E336">_xlfn.LET(
  _xlpm.text, " " &amp; B336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36" t="str">
        <f t="shared" si="5"/>
        <v>https://www8.hp.com/h20195/v2/GetDocument.aspx?docname=c09083466</v>
      </c>
    </row>
    <row r="337" spans="1:7" x14ac:dyDescent="0.25">
      <c r="A337" t="s">
        <v>705</v>
      </c>
      <c r="B337" t="s">
        <v>706</v>
      </c>
      <c r="C337" t="str" cm="1">
        <f t="array" ref="C337">_xlfn.LET(
  _xlpm.text, B337,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37" t="s">
        <v>145</v>
      </c>
      <c r="E337" t="str" cm="1">
        <f t="array" ref="E337">_xlfn.LET(
  _xlpm.text, " " &amp; B337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37" t="str">
        <f t="shared" si="5"/>
        <v>https://www8.hp.com/h20195/v2/GetDocument.aspx?docname=c09156739</v>
      </c>
    </row>
    <row r="338" spans="1:7" x14ac:dyDescent="0.25">
      <c r="A338" t="s">
        <v>707</v>
      </c>
      <c r="B338" t="s">
        <v>708</v>
      </c>
      <c r="C338" t="str" cm="1">
        <f t="array" ref="C338">_xlfn.LET(
  _xlpm.text, B338,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38" t="str" cm="1">
        <f t="array" ref="D338">_xlfn.LET(
  _xlpm.text, B338,
  _xlpm.keywords, Category!$A$1:$A$100,
  _xlpm.matches, _xlfn._xlws.FILTER(_xlpm.keywords, ISNUMBER(SEARCH(_xlpm.keywords, _xlpm.text))),
  IF(COUNTA(_xlpm.matches) &gt; 0, INDEX(_xlpm.matches, 1), "")
)</f>
        <v>Series 7</v>
      </c>
      <c r="E338" t="str" cm="1">
        <f t="array" ref="E338">_xlfn.LET(
  _xlpm.text, " " &amp; B338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38" t="str">
        <f t="shared" si="5"/>
        <v>https://www8.hp.com/h20195/v2/GetDocument.aspx?docname=c08816192</v>
      </c>
    </row>
    <row r="339" spans="1:7" x14ac:dyDescent="0.25">
      <c r="A339" t="s">
        <v>709</v>
      </c>
      <c r="B339" t="s">
        <v>710</v>
      </c>
      <c r="C339" t="str" cm="1">
        <f t="array" ref="C339">_xlfn.LET(
  _xlpm.text, B339,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39" t="str" cm="1">
        <f t="array" ref="D339">_xlfn.LET(
  _xlpm.text, B339,
  _xlpm.keywords, Category!$A$1:$A$100,
  _xlpm.matches, _xlfn._xlws.FILTER(_xlpm.keywords, ISNUMBER(SEARCH(_xlpm.keywords, _xlpm.text))),
  IF(COUNTA(_xlpm.matches) &gt; 0, INDEX(_xlpm.matches, 1), "")
)</f>
        <v>Series 7</v>
      </c>
      <c r="E339" t="str" cm="1">
        <f t="array" ref="E339">_xlfn.LET(
  _xlpm.text, " " &amp; B339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39" t="str">
        <f t="shared" si="5"/>
        <v>https://www8.hp.com/h20195/v2/GetDocument.aspx?docname=c08893145</v>
      </c>
    </row>
    <row r="340" spans="1:7" x14ac:dyDescent="0.25">
      <c r="A340" t="s">
        <v>711</v>
      </c>
      <c r="B340" t="s">
        <v>712</v>
      </c>
      <c r="C340" t="str" cm="1">
        <f t="array" ref="C340">_xlfn.LET(
  _xlpm.text, B340,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40" t="str" cm="1">
        <f t="array" ref="D340">_xlfn.LET(
  _xlpm.text, B340,
  _xlpm.keywords, Category!$A$1:$A$100,
  _xlpm.matches, _xlfn._xlws.FILTER(_xlpm.keywords, ISNUMBER(SEARCH(_xlpm.keywords, _xlpm.text))),
  IF(COUNTA(_xlpm.matches) &gt; 0, INDEX(_xlpm.matches, 1), "")
)</f>
        <v>Series 7</v>
      </c>
      <c r="E340" t="str" cm="1">
        <f t="array" ref="E340">_xlfn.LET(
  _xlpm.text, " " &amp; B340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40" t="str">
        <f t="shared" si="5"/>
        <v>https://www8.hp.com/h20195/v2/GetDocument.aspx?docname=c08893150</v>
      </c>
    </row>
    <row r="341" spans="1:7" x14ac:dyDescent="0.25">
      <c r="A341" t="s">
        <v>713</v>
      </c>
      <c r="B341" t="s">
        <v>714</v>
      </c>
      <c r="C341" t="str" cm="1">
        <f t="array" ref="C341">_xlfn.LET(
  _xlpm.text, B341,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41" t="str" cm="1">
        <f t="array" ref="D341">_xlfn.LET(
  _xlpm.text, B341,
  _xlpm.keywords, Category!$A$1:$A$100,
  _xlpm.matches, _xlfn._xlws.FILTER(_xlpm.keywords, ISNUMBER(SEARCH(_xlpm.keywords, _xlpm.text))),
  IF(COUNTA(_xlpm.matches) &gt; 0, INDEX(_xlpm.matches, 1), "")
)</f>
        <v>Series 7</v>
      </c>
      <c r="E341" t="str" cm="1">
        <f t="array" ref="E341">_xlfn.LET(
  _xlpm.text, " " &amp; B341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41" t="str">
        <f t="shared" si="5"/>
        <v>https://www8.hp.com/h20195/v2/GetDocument.aspx?docname=c08893144</v>
      </c>
    </row>
    <row r="342" spans="1:7" x14ac:dyDescent="0.25">
      <c r="A342" t="s">
        <v>715</v>
      </c>
      <c r="B342" t="s">
        <v>716</v>
      </c>
      <c r="C342" t="str" cm="1">
        <f t="array" ref="C342">_xlfn.LET(
  _xlpm.text, B342,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42" t="s">
        <v>21</v>
      </c>
      <c r="E342" t="str" cm="1">
        <f t="array" ref="E342">_xlfn.LET(
  _xlpm.text, " " &amp; B342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42" t="str">
        <f t="shared" si="5"/>
        <v>https://www8.hp.com/h20195/v2/GetDocument.aspx?docname=c08183724</v>
      </c>
    </row>
    <row r="343" spans="1:7" x14ac:dyDescent="0.25">
      <c r="A343" t="s">
        <v>717</v>
      </c>
      <c r="B343" t="s">
        <v>718</v>
      </c>
      <c r="C343" t="str" cm="1">
        <f t="array" ref="C343">_xlfn.LET(
  _xlpm.text, B343,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343" t="str" cm="1">
        <f t="array" ref="D343">_xlfn.LET(
  _xlpm.text, B343,
  _xlpm.keywords, Category!$A$1:$A$100,
  _xlpm.matches, _xlfn._xlws.FILTER(_xlpm.keywords, ISNUMBER(SEARCH(_xlpm.keywords, _xlpm.text))),
  IF(COUNTA(_xlpm.matches) &gt; 0, INDEX(_xlpm.matches, 1), "")
)</f>
        <v>ZBook</v>
      </c>
      <c r="E343" t="str" cm="1">
        <f t="array" ref="E343">_xlfn.LET(
  _xlpm.text, " " &amp; B343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43" t="str">
        <f t="shared" si="5"/>
        <v>https://www8.hp.com/h20195/v2/GetDocument.aspx?docname=c08954703</v>
      </c>
    </row>
    <row r="344" spans="1:7" x14ac:dyDescent="0.25">
      <c r="A344" t="s">
        <v>719</v>
      </c>
      <c r="B344" t="s">
        <v>720</v>
      </c>
      <c r="C344" t="str" cm="1">
        <f t="array" ref="C344">_xlfn.LET(
  _xlpm.text, B344,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44" t="s">
        <v>1159</v>
      </c>
      <c r="E344" t="str" cm="1">
        <f t="array" ref="E344">_xlfn.LET(
  _xlpm.text, " " &amp; B344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44" t="str">
        <f t="shared" si="5"/>
        <v>https://www8.hp.com/h20195/v2/GetDocument.aspx?docname=c08109685</v>
      </c>
    </row>
    <row r="345" spans="1:7" x14ac:dyDescent="0.25">
      <c r="A345" t="s">
        <v>721</v>
      </c>
      <c r="B345" t="s">
        <v>722</v>
      </c>
      <c r="C345" t="str" cm="1">
        <f t="array" ref="C345">_xlfn.LET(
  _xlpm.text, B345,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45" t="s">
        <v>21</v>
      </c>
      <c r="E345" t="str" cm="1">
        <f t="array" ref="E345">_xlfn.LET(
  _xlpm.text, " " &amp; B345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45" t="str">
        <f t="shared" si="5"/>
        <v>https://www8.hp.com/h20195/v2/GetDocument.aspx?docname=c08174111</v>
      </c>
    </row>
    <row r="346" spans="1:7" x14ac:dyDescent="0.25">
      <c r="A346" t="s">
        <v>723</v>
      </c>
      <c r="B346" t="s">
        <v>724</v>
      </c>
      <c r="C346" t="s">
        <v>20</v>
      </c>
      <c r="D346" t="s">
        <v>47</v>
      </c>
      <c r="E346" t="str" cm="1">
        <f t="array" ref="E346">_xlfn.LET(
  _xlpm.text, " " &amp; B346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46" t="str">
        <f t="shared" si="5"/>
        <v>https://www8.hp.com/h20195/v2/GetDocument.aspx?docname=c05543201</v>
      </c>
    </row>
    <row r="347" spans="1:7" x14ac:dyDescent="0.25">
      <c r="A347" t="s">
        <v>725</v>
      </c>
      <c r="B347" t="s">
        <v>726</v>
      </c>
      <c r="C347" t="s">
        <v>41</v>
      </c>
      <c r="D347" t="s">
        <v>21</v>
      </c>
      <c r="E347" t="str" cm="1">
        <f t="array" ref="E347">_xlfn.LET(
  _xlpm.text, " " &amp; B347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47" t="str">
        <f t="shared" si="5"/>
        <v>https://www8.hp.com/h20195/v2/GetDocument.aspx?docname=c08479497</v>
      </c>
    </row>
    <row r="348" spans="1:7" x14ac:dyDescent="0.25">
      <c r="A348" t="s">
        <v>727</v>
      </c>
      <c r="B348" t="s">
        <v>728</v>
      </c>
      <c r="C348" t="s">
        <v>20</v>
      </c>
      <c r="D348" t="s">
        <v>47</v>
      </c>
      <c r="G348" t="str">
        <f t="shared" si="5"/>
        <v>https://www8.hp.com/h20195/v2/GetDocument.aspx?docname=c09158403</v>
      </c>
    </row>
    <row r="349" spans="1:7" x14ac:dyDescent="0.25">
      <c r="A349" t="s">
        <v>729</v>
      </c>
      <c r="B349" t="s">
        <v>730</v>
      </c>
      <c r="C349" t="str" cm="1">
        <f t="array" ref="C349">_xlfn.LET(
  _xlpm.text, B349,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49" t="str" cm="1">
        <f t="array" ref="D349">_xlfn.LET(
  _xlpm.text, B349,
  _xlpm.keywords, Category!$A$1:$A$100,
  _xlpm.matches, _xlfn._xlws.FILTER(_xlpm.keywords, ISNUMBER(SEARCH(_xlpm.keywords, _xlpm.text))),
  IF(COUNTA(_xlpm.matches) &gt; 0, INDEX(_xlpm.matches, 1), "")
)</f>
        <v>EliteBook</v>
      </c>
      <c r="E349" t="str" cm="1">
        <f t="array" ref="E349">_xlfn.LET(
  _xlpm.text, " " &amp; B349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49" t="str">
        <f t="shared" si="5"/>
        <v>https://www8.hp.com/h20195/v2/GetDocument.aspx?docname=c08893142</v>
      </c>
    </row>
    <row r="350" spans="1:7" x14ac:dyDescent="0.25">
      <c r="A350" t="s">
        <v>731</v>
      </c>
      <c r="B350" t="s">
        <v>732</v>
      </c>
      <c r="C350" t="str" cm="1">
        <f t="array" ref="C350">_xlfn.LET(
  _xlpm.text, B350,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0" t="str" cm="1">
        <f t="array" ref="D350">_xlfn.LET(
  _xlpm.text, B350,
  _xlpm.keywords, Category!$A$1:$A$100,
  _xlpm.matches, _xlfn._xlws.FILTER(_xlpm.keywords, ISNUMBER(SEARCH(_xlpm.keywords, _xlpm.text))),
  IF(COUNTA(_xlpm.matches) &gt; 0, INDEX(_xlpm.matches, 1), "")
)</f>
        <v>EliteBook</v>
      </c>
      <c r="E350" t="str" cm="1">
        <f t="array" ref="E350">_xlfn.LET(
  _xlpm.text, " " &amp; B350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50" t="str">
        <f t="shared" si="5"/>
        <v>https://www8.hp.com/h20195/v2/GetDocument.aspx?docname=c08460851</v>
      </c>
    </row>
    <row r="351" spans="1:7" x14ac:dyDescent="0.25">
      <c r="A351" t="s">
        <v>733</v>
      </c>
      <c r="B351" t="s">
        <v>734</v>
      </c>
      <c r="C351" t="str" cm="1">
        <f t="array" ref="C351">_xlfn.LET(
  _xlpm.text, B351,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1" t="str" cm="1">
        <f t="array" ref="D351">_xlfn.LET(
  _xlpm.text, B351,
  _xlpm.keywords, Category!$A$1:$A$100,
  _xlpm.matches, _xlfn._xlws.FILTER(_xlpm.keywords, ISNUMBER(SEARCH(_xlpm.keywords, _xlpm.text))),
  IF(COUNTA(_xlpm.matches) &gt; 0, INDEX(_xlpm.matches, 1), "")
)</f>
        <v>EliteBook</v>
      </c>
      <c r="E351" t="str" cm="1">
        <f t="array" ref="E351">_xlfn.LET(
  _xlpm.text, " " &amp; B351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51" t="str">
        <f t="shared" si="5"/>
        <v>https://www8.hp.com/h20195/v2/GetDocument.aspx?docname=c08487722</v>
      </c>
    </row>
    <row r="352" spans="1:7" x14ac:dyDescent="0.25">
      <c r="A352" t="s">
        <v>735</v>
      </c>
      <c r="B352" t="s">
        <v>736</v>
      </c>
      <c r="C352" t="str" cm="1">
        <f t="array" ref="C352">_xlfn.LET(
  _xlpm.text, B352,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2" t="str" cm="1">
        <f t="array" ref="D352">_xlfn.LET(
  _xlpm.text, B352,
  _xlpm.keywords, Category!$A$1:$A$100,
  _xlpm.matches, _xlfn._xlws.FILTER(_xlpm.keywords, ISNUMBER(SEARCH(_xlpm.keywords, _xlpm.text))),
  IF(COUNTA(_xlpm.matches) &gt; 0, INDEX(_xlpm.matches, 1), "")
)</f>
        <v>EliteBook</v>
      </c>
      <c r="E352" t="str" cm="1">
        <f t="array" ref="E352">_xlfn.LET(
  _xlpm.text, " " &amp; B352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52" t="str">
        <f t="shared" si="5"/>
        <v>https://www8.hp.com/h20195/v2/GetDocument.aspx?docname=c08927104</v>
      </c>
    </row>
    <row r="353" spans="1:7" x14ac:dyDescent="0.25">
      <c r="A353" t="s">
        <v>737</v>
      </c>
      <c r="B353" t="s">
        <v>738</v>
      </c>
      <c r="C353" t="str" cm="1">
        <f t="array" ref="C353">_xlfn.LET(
  _xlpm.text, B353,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353" t="str" cm="1">
        <f t="array" ref="D353">_xlfn.LET(
  _xlpm.text, B353,
  _xlpm.keywords, Category!$A$1:$A$100,
  _xlpm.matches, _xlfn._xlws.FILTER(_xlpm.keywords, ISNUMBER(SEARCH(_xlpm.keywords, _xlpm.text))),
  IF(COUNTA(_xlpm.matches) &gt; 0, INDEX(_xlpm.matches, 1), "")
)</f>
        <v>ZBook</v>
      </c>
      <c r="E353" t="str" cm="1">
        <f t="array" ref="E353">_xlfn.LET(
  _xlpm.text, " " &amp; B353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53" t="str">
        <f t="shared" si="5"/>
        <v>https://www8.hp.com/h20195/v2/GetDocument.aspx?docname=c09133729</v>
      </c>
    </row>
    <row r="354" spans="1:7" x14ac:dyDescent="0.25">
      <c r="A354" t="s">
        <v>739</v>
      </c>
      <c r="B354" t="s">
        <v>740</v>
      </c>
      <c r="C354" t="str" cm="1">
        <f t="array" ref="C354">_xlfn.LET(
  _xlpm.text, B354,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4" t="str" cm="1">
        <f t="array" ref="D354">_xlfn.LET(
  _xlpm.text, B354,
  _xlpm.keywords, Category!$A$1:$A$100,
  _xlpm.matches, _xlfn._xlws.FILTER(_xlpm.keywords, ISNUMBER(SEARCH(_xlpm.keywords, _xlpm.text))),
  IF(COUNTA(_xlpm.matches) &gt; 0, INDEX(_xlpm.matches, 1), "")
)</f>
        <v>ProBook</v>
      </c>
      <c r="E354" t="str" cm="1">
        <f t="array" ref="E354">_xlfn.LET(
  _xlpm.text, " " &amp; B354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54" t="str">
        <f t="shared" si="5"/>
        <v>https://www8.hp.com/h20195/v2/GetDocument.aspx?docname=c09111175</v>
      </c>
    </row>
    <row r="355" spans="1:7" x14ac:dyDescent="0.25">
      <c r="A355" t="s">
        <v>741</v>
      </c>
      <c r="B355" t="s">
        <v>742</v>
      </c>
      <c r="C355" t="str" cm="1">
        <f t="array" ref="C355">_xlfn.LET(
  _xlpm.text, B355,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5" t="str" cm="1">
        <f t="array" ref="D355">_xlfn.LET(
  _xlpm.text, B355,
  _xlpm.keywords, Category!$A$1:$A$100,
  _xlpm.matches, _xlfn._xlws.FILTER(_xlpm.keywords, ISNUMBER(SEARCH(_xlpm.keywords, _xlpm.text))),
  IF(COUNTA(_xlpm.matches) &gt; 0, INDEX(_xlpm.matches, 1), "")
)</f>
        <v>ProBook</v>
      </c>
      <c r="E355" t="str" cm="1">
        <f t="array" ref="E355">_xlfn.LET(
  _xlpm.text, " " &amp; B355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55" t="str">
        <f t="shared" si="5"/>
        <v>https://www8.hp.com/h20195/v2/GetDocument.aspx?docname=c09102587</v>
      </c>
    </row>
    <row r="356" spans="1:7" x14ac:dyDescent="0.25">
      <c r="A356" t="s">
        <v>743</v>
      </c>
      <c r="B356" t="s">
        <v>744</v>
      </c>
      <c r="C356" t="str" cm="1">
        <f t="array" ref="C356">_xlfn.LET(
  _xlpm.text, B356,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6" t="str" cm="1">
        <f t="array" ref="D356">_xlfn.LET(
  _xlpm.text, B356,
  _xlpm.keywords, Category!$A$1:$A$100,
  _xlpm.matches, _xlfn._xlws.FILTER(_xlpm.keywords, ISNUMBER(SEARCH(_xlpm.keywords, _xlpm.text))),
  IF(COUNTA(_xlpm.matches) &gt; 0, INDEX(_xlpm.matches, 1), "")
)</f>
        <v>ProBook</v>
      </c>
      <c r="E356" t="str" cm="1">
        <f t="array" ref="E356">_xlfn.LET(
  _xlpm.text, " " &amp; B356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56" t="str">
        <f t="shared" si="5"/>
        <v>https://www8.hp.com/h20195/v2/GetDocument.aspx?docname=c09111176</v>
      </c>
    </row>
    <row r="357" spans="1:7" x14ac:dyDescent="0.25">
      <c r="A357" t="s">
        <v>745</v>
      </c>
      <c r="B357" t="s">
        <v>746</v>
      </c>
      <c r="C357" t="str" cm="1">
        <f t="array" ref="C357">_xlfn.LET(
  _xlpm.text, B357,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7" t="str" cm="1">
        <f t="array" ref="D357">_xlfn.LET(
  _xlpm.text, B357,
  _xlpm.keywords, Category!$A$1:$A$100,
  _xlpm.matches, _xlfn._xlws.FILTER(_xlpm.keywords, ISNUMBER(SEARCH(_xlpm.keywords, _xlpm.text))),
  IF(COUNTA(_xlpm.matches) &gt; 0, INDEX(_xlpm.matches, 1), "")
)</f>
        <v>EliteBook</v>
      </c>
      <c r="E357" t="str" cm="1">
        <f t="array" ref="E357">_xlfn.LET(
  _xlpm.text, " " &amp; B357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57" t="str">
        <f t="shared" si="5"/>
        <v>https://www8.hp.com/h20195/v2/GetDocument.aspx?docname=c09111179</v>
      </c>
    </row>
    <row r="358" spans="1:7" x14ac:dyDescent="0.25">
      <c r="A358" t="s">
        <v>747</v>
      </c>
      <c r="B358" t="s">
        <v>748</v>
      </c>
      <c r="C358" t="str" cm="1">
        <f t="array" ref="C358">_xlfn.LET(
  _xlpm.text, B358,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8" t="str" cm="1">
        <f t="array" ref="D358">_xlfn.LET(
  _xlpm.text, B358,
  _xlpm.keywords, Category!$A$1:$A$100,
  _xlpm.matches, _xlfn._xlws.FILTER(_xlpm.keywords, ISNUMBER(SEARCH(_xlpm.keywords, _xlpm.text))),
  IF(COUNTA(_xlpm.matches) &gt; 0, INDEX(_xlpm.matches, 1), "")
)</f>
        <v>EliteBook</v>
      </c>
      <c r="E358" t="str" cm="1">
        <f t="array" ref="E358">_xlfn.LET(
  _xlpm.text, " " &amp; B358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58" t="str">
        <f t="shared" si="5"/>
        <v>https://www8.hp.com/h20195/v2/GetDocument.aspx?docname=c09100636</v>
      </c>
    </row>
    <row r="359" spans="1:7" x14ac:dyDescent="0.25">
      <c r="A359" t="s">
        <v>749</v>
      </c>
      <c r="B359" t="s">
        <v>750</v>
      </c>
      <c r="C359" t="str" cm="1">
        <f t="array" ref="C359">_xlfn.LET(
  _xlpm.text, B359,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59" t="str" cm="1">
        <f t="array" ref="D359">_xlfn.LET(
  _xlpm.text, B359,
  _xlpm.keywords, Category!$A$1:$A$100,
  _xlpm.matches, _xlfn._xlws.FILTER(_xlpm.keywords, ISNUMBER(SEARCH(_xlpm.keywords, _xlpm.text))),
  IF(COUNTA(_xlpm.matches) &gt; 0, INDEX(_xlpm.matches, 1), "")
)</f>
        <v>EliteBook</v>
      </c>
      <c r="E359" t="str" cm="1">
        <f t="array" ref="E359">_xlfn.LET(
  _xlpm.text, " " &amp; B359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59" t="str">
        <f t="shared" si="5"/>
        <v>https://www8.hp.com/h20195/v2/GetDocument.aspx?docname=c09100634</v>
      </c>
    </row>
    <row r="360" spans="1:7" x14ac:dyDescent="0.25">
      <c r="A360" t="s">
        <v>751</v>
      </c>
      <c r="B360" t="s">
        <v>752</v>
      </c>
      <c r="C360" t="str" cm="1">
        <f t="array" ref="C360">_xlfn.LET(
  _xlpm.text, B360,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60" t="str" cm="1">
        <f t="array" ref="D360">_xlfn.LET(
  _xlpm.text, B360,
  _xlpm.keywords, Category!$A$1:$A$100,
  _xlpm.matches, _xlfn._xlws.FILTER(_xlpm.keywords, ISNUMBER(SEARCH(_xlpm.keywords, _xlpm.text))),
  IF(COUNTA(_xlpm.matches) &gt; 0, INDEX(_xlpm.matches, 1), "")
)</f>
        <v>EliteBook</v>
      </c>
      <c r="E360" t="str" cm="1">
        <f t="array" ref="E360">_xlfn.LET(
  _xlpm.text, " " &amp; B360 &amp; " ",
  _xlpm.keywords, GenList!$A$1:$A$100,
  _xlpm.paddedKeywords, " " &amp; _xlpm.keywords &amp; " ",
  _xlpm.matches, _xlfn._xlws.FILTER(_xlpm.keywords, ISNUMBER(SEARCH(_xlpm.paddedKeywords, _xlpm.text))),
  IFERROR(INDEX(_xlpm.matches, 1), "")
)</f>
        <v>G1q</v>
      </c>
      <c r="G360" t="str">
        <f t="shared" si="5"/>
        <v>https://www8.hp.com/h20195/v2/GetDocument.aspx?docname=c09102584</v>
      </c>
    </row>
    <row r="361" spans="1:7" x14ac:dyDescent="0.25">
      <c r="A361" t="s">
        <v>753</v>
      </c>
      <c r="B361" t="s">
        <v>754</v>
      </c>
      <c r="C361" t="str" cm="1">
        <f t="array" ref="C361">_xlfn.LET(
  _xlpm.text, B361,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61" t="str" cm="1">
        <f t="array" ref="D361">_xlfn.LET(
  _xlpm.text, B361,
  _xlpm.keywords, Category!$A$1:$A$100,
  _xlpm.matches, _xlfn._xlws.FILTER(_xlpm.keywords, ISNUMBER(SEARCH(_xlpm.keywords, _xlpm.text))),
  IF(COUNTA(_xlpm.matches) &gt; 0, INDEX(_xlpm.matches, 1), "")
)</f>
        <v>EliteBook</v>
      </c>
      <c r="E361" t="str" cm="1">
        <f t="array" ref="E361">_xlfn.LET(
  _xlpm.text, " " &amp; B361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61" t="str">
        <f t="shared" si="5"/>
        <v>https://www8.hp.com/h20195/v2/GetDocument.aspx?docname=c08880576</v>
      </c>
    </row>
    <row r="362" spans="1:7" x14ac:dyDescent="0.25">
      <c r="A362" t="s">
        <v>755</v>
      </c>
      <c r="B362" t="s">
        <v>756</v>
      </c>
      <c r="C362" t="str" cm="1">
        <f t="array" ref="C362">_xlfn.LET(
  _xlpm.text, B362,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62" t="str" cm="1">
        <f t="array" ref="D362">_xlfn.LET(
  _xlpm.text, B362,
  _xlpm.keywords, Category!$A$1:$A$100,
  _xlpm.matches, _xlfn._xlws.FILTER(_xlpm.keywords, ISNUMBER(SEARCH(_xlpm.keywords, _xlpm.text))),
  IF(COUNTA(_xlpm.matches) &gt; 0, INDEX(_xlpm.matches, 1), "")
)</f>
        <v>EliteBook</v>
      </c>
      <c r="E362" t="str" cm="1">
        <f t="array" ref="E362">_xlfn.LET(
  _xlpm.text, " " &amp; B362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62" t="str">
        <f t="shared" si="5"/>
        <v>https://www8.hp.com/h20195/v2/GetDocument.aspx?docname=c08880575</v>
      </c>
    </row>
    <row r="363" spans="1:7" x14ac:dyDescent="0.25">
      <c r="A363" t="s">
        <v>757</v>
      </c>
      <c r="B363" t="s">
        <v>758</v>
      </c>
      <c r="C363" t="str" cm="1">
        <f t="array" ref="C363">_xlfn.LET(
  _xlpm.text, B363,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63" t="str" cm="1">
        <f t="array" ref="D363">_xlfn.LET(
  _xlpm.text, B363,
  _xlpm.keywords, Category!$A$1:$A$100,
  _xlpm.matches, _xlfn._xlws.FILTER(_xlpm.keywords, ISNUMBER(SEARCH(_xlpm.keywords, _xlpm.text))),
  IF(COUNTA(_xlpm.matches) &gt; 0, INDEX(_xlpm.matches, 1), "")
)</f>
        <v>EliteBook</v>
      </c>
      <c r="E363" t="str" cm="1">
        <f t="array" ref="E363">_xlfn.LET(
  _xlpm.text, " " &amp; B363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363" t="str">
        <f t="shared" si="5"/>
        <v>https://www8.hp.com/h20195/v2/GetDocument.aspx?docname=c08880574</v>
      </c>
    </row>
    <row r="364" spans="1:7" x14ac:dyDescent="0.25">
      <c r="A364" t="s">
        <v>759</v>
      </c>
      <c r="B364" t="s">
        <v>760</v>
      </c>
      <c r="C364" t="str" cm="1">
        <f t="array" ref="C364">_xlfn.LET(
  _xlpm.text, B364,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64" t="s">
        <v>1159</v>
      </c>
      <c r="E364" t="str" cm="1">
        <f t="array" ref="E364">_xlfn.LET(
  _xlpm.text, " " &amp; B364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64" t="str">
        <f t="shared" si="5"/>
        <v>https://www8.hp.com/h20195/v2/GetDocument.aspx?docname=c09133726</v>
      </c>
    </row>
    <row r="365" spans="1:7" x14ac:dyDescent="0.25">
      <c r="A365" t="s">
        <v>761</v>
      </c>
      <c r="B365" t="s">
        <v>762</v>
      </c>
      <c r="C365" t="str" cm="1">
        <f t="array" ref="C365">_xlfn.LET(
  _xlpm.text, B365,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65" t="s">
        <v>1159</v>
      </c>
      <c r="E365" t="str" cm="1">
        <f t="array" ref="E365">_xlfn.LET(
  _xlpm.text, " " &amp; B365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65" t="str">
        <f t="shared" si="5"/>
        <v>https://www8.hp.com/h20195/v2/GetDocument.aspx?docname=c08109687</v>
      </c>
    </row>
    <row r="366" spans="1:7" x14ac:dyDescent="0.25">
      <c r="A366" t="s">
        <v>763</v>
      </c>
      <c r="B366" t="s">
        <v>764</v>
      </c>
      <c r="C366" t="str" cm="1">
        <f t="array" ref="C366">_xlfn.LET(
  _xlpm.text, B366,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66" t="s">
        <v>1159</v>
      </c>
      <c r="E366" t="str" cm="1">
        <f t="array" ref="E366">_xlfn.LET(
  _xlpm.text, " " &amp; B366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F366" t="s">
        <v>9</v>
      </c>
      <c r="G366" t="str">
        <f t="shared" si="5"/>
        <v>https://www8.hp.com/h20195/v2/GetDocument.aspx?docname=c09153568</v>
      </c>
    </row>
    <row r="367" spans="1:7" x14ac:dyDescent="0.25">
      <c r="A367" t="s">
        <v>765</v>
      </c>
      <c r="B367" t="s">
        <v>766</v>
      </c>
      <c r="C367" t="str" cm="1">
        <f t="array" ref="C367">_xlfn.LET(
  _xlpm.text, B367,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67" t="s">
        <v>1159</v>
      </c>
      <c r="E367" t="str" cm="1">
        <f t="array" ref="E367">_xlfn.LET(
  _xlpm.text, " " &amp; B367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67" t="str">
        <f t="shared" si="5"/>
        <v>https://www8.hp.com/h20195/v2/GetDocument.aspx?docname=c09133727</v>
      </c>
    </row>
    <row r="368" spans="1:7" x14ac:dyDescent="0.25">
      <c r="A368" t="s">
        <v>767</v>
      </c>
      <c r="B368" t="s">
        <v>768</v>
      </c>
      <c r="C368" t="str" cm="1">
        <f t="array" ref="C368">_xlfn.LET(
  _xlpm.text, B368,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68" t="s">
        <v>1159</v>
      </c>
      <c r="E368" t="str" cm="1">
        <f t="array" ref="E368">_xlfn.LET(
  _xlpm.text, " " &amp; B368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68" t="str">
        <f t="shared" si="5"/>
        <v>https://www8.hp.com/h20195/v2/GetDocument.aspx?docname=c09133728</v>
      </c>
    </row>
    <row r="369" spans="1:7" x14ac:dyDescent="0.25">
      <c r="A369" t="s">
        <v>769</v>
      </c>
      <c r="B369" t="s">
        <v>770</v>
      </c>
      <c r="C369" t="str" cm="1">
        <f t="array" ref="C369">_xlfn.LET(
  _xlpm.text, B369,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369" t="str" cm="1">
        <f t="array" ref="D369">_xlfn.LET(
  _xlpm.text, B369,
  _xlpm.keywords, Category!$A$1:$A$100,
  _xlpm.matches, _xlfn._xlws.FILTER(_xlpm.keywords, ISNUMBER(SEARCH(_xlpm.keywords, _xlpm.text))),
  IF(COUNTA(_xlpm.matches) &gt; 0, INDEX(_xlpm.matches, 1), "")
)</f>
        <v>ZBook</v>
      </c>
      <c r="E369" t="str" cm="1">
        <f t="array" ref="E369">_xlfn.LET(
  _xlpm.text, " " &amp; B369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69" t="str">
        <f t="shared" si="5"/>
        <v>https://www8.hp.com/h20195/v2/GetDocument.aspx?docname=c09133730</v>
      </c>
    </row>
    <row r="370" spans="1:7" x14ac:dyDescent="0.25">
      <c r="A370" t="s">
        <v>771</v>
      </c>
      <c r="B370" t="s">
        <v>772</v>
      </c>
      <c r="C370" t="str" cm="1">
        <f t="array" ref="C370">_xlfn.LET(
  _xlpm.text, B370,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70" t="s">
        <v>1159</v>
      </c>
      <c r="E370" t="str" cm="1">
        <f t="array" ref="E370">_xlfn.LET(
  _xlpm.text, " " &amp; B370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70" t="str">
        <f t="shared" si="5"/>
        <v>https://www8.hp.com/h20195/v2/GetDocument.aspx?docname=c09133725</v>
      </c>
    </row>
    <row r="371" spans="1:7" x14ac:dyDescent="0.25">
      <c r="A371" t="s">
        <v>773</v>
      </c>
      <c r="B371" t="s">
        <v>774</v>
      </c>
      <c r="C371" t="str" cm="1">
        <f t="array" ref="C371">_xlfn.LET(
  _xlpm.text, B371,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71" t="s">
        <v>1159</v>
      </c>
      <c r="E371" t="str" cm="1">
        <f t="array" ref="E371">_xlfn.LET(
  _xlpm.text, " " &amp; B371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371" t="str">
        <f t="shared" si="5"/>
        <v>https://www8.hp.com/h20195/v2/GetDocument.aspx?docname=c08111505</v>
      </c>
    </row>
    <row r="372" spans="1:7" x14ac:dyDescent="0.25">
      <c r="A372" t="s">
        <v>775</v>
      </c>
      <c r="B372" t="s">
        <v>776</v>
      </c>
      <c r="C372" t="s">
        <v>41</v>
      </c>
      <c r="D372" t="s">
        <v>21</v>
      </c>
      <c r="E372" t="str" cm="1">
        <f t="array" ref="E372">_xlfn.LET(
  _xlpm.text, " " &amp; B372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372" t="str">
        <f t="shared" si="5"/>
        <v>https://www8.hp.com/h20195/v2/GetDocument.aspx?docname=c09053765</v>
      </c>
    </row>
    <row r="373" spans="1:7" x14ac:dyDescent="0.25">
      <c r="A373" t="s">
        <v>777</v>
      </c>
      <c r="B373" t="s">
        <v>778</v>
      </c>
      <c r="C373" t="str" cm="1">
        <f t="array" ref="C373">_xlfn.LET(
  _xlpm.text, B373,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73" t="str" cm="1">
        <f t="array" ref="D373">_xlfn.LET(
  _xlpm.text, B373,
  _xlpm.keywords, Category!$A$1:$A$100,
  _xlpm.matches, _xlfn._xlws.FILTER(_xlpm.keywords, ISNUMBER(SEARCH(_xlpm.keywords, _xlpm.text))),
  IF(COUNTA(_xlpm.matches) &gt; 0, INDEX(_xlpm.matches, 1), "")
)</f>
        <v>Series 5</v>
      </c>
      <c r="E373" t="str" cm="1">
        <f t="array" ref="E373">_xlfn.LET(
  _xlpm.text, " " &amp; B373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73" t="str">
        <f t="shared" si="5"/>
        <v>https://www8.hp.com/h20195/v2/GetDocument.aspx?docname=c09073623</v>
      </c>
    </row>
    <row r="374" spans="1:7" x14ac:dyDescent="0.25">
      <c r="A374" t="s">
        <v>779</v>
      </c>
      <c r="B374" t="s">
        <v>780</v>
      </c>
      <c r="C374" t="str" cm="1">
        <f t="array" ref="C374">_xlfn.LET(
  _xlpm.text, B374,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74" t="s">
        <v>1154</v>
      </c>
      <c r="E374" t="str" cm="1">
        <f t="array" ref="E374">_xlfn.LET(
  _xlpm.text, " " &amp; B374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374" t="str">
        <f t="shared" si="5"/>
        <v>https://www8.hp.com/h20195/v2/GetDocument.aspx?docname=c09121527</v>
      </c>
    </row>
    <row r="375" spans="1:7" x14ac:dyDescent="0.25">
      <c r="A375" t="s">
        <v>781</v>
      </c>
      <c r="B375" t="s">
        <v>782</v>
      </c>
      <c r="C375" t="str" cm="1">
        <f t="array" ref="C375">_xlfn.LET(
  _xlpm.text, B375,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75" t="str" cm="1">
        <f t="array" ref="D375">_xlfn.LET(
  _xlpm.text, B375,
  _xlpm.keywords, Category!$A$1:$A$100,
  _xlpm.matches, _xlfn._xlws.FILTER(_xlpm.keywords, ISNUMBER(SEARCH(_xlpm.keywords, _xlpm.text))),
  IF(COUNTA(_xlpm.matches) &gt; 0, INDEX(_xlpm.matches, 1), "")
)</f>
        <v>EliteDesk</v>
      </c>
      <c r="E375" t="str" cm="1">
        <f t="array" ref="E375">_xlfn.LET(
  _xlpm.text, " " &amp; B375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375" t="str">
        <f t="shared" si="5"/>
        <v>https://www8.hp.com/h20195/v2/GetDocument.aspx?docname=c09156355</v>
      </c>
    </row>
    <row r="376" spans="1:7" x14ac:dyDescent="0.25">
      <c r="A376" t="s">
        <v>783</v>
      </c>
      <c r="B376" t="s">
        <v>784</v>
      </c>
      <c r="C376" t="str" cm="1">
        <f t="array" ref="C376">_xlfn.LET(
  _xlpm.text, B376,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376" t="s">
        <v>145</v>
      </c>
      <c r="E376" t="str" cm="1">
        <f t="array" ref="E376">_xlfn.LET(
  _xlpm.text, " " &amp; B376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76" t="str">
        <f t="shared" si="5"/>
        <v>https://www8.hp.com/h20195/v2/GetDocument.aspx?docname=c07072047</v>
      </c>
    </row>
    <row r="377" spans="1:7" x14ac:dyDescent="0.25">
      <c r="A377" t="s">
        <v>785</v>
      </c>
      <c r="B377" t="s">
        <v>786</v>
      </c>
      <c r="C377" t="str" cm="1">
        <f t="array" ref="C377">_xlfn.LET(
  _xlpm.text, B377,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377" t="str" cm="1">
        <f t="array" ref="D377">_xlfn.LET(
  _xlpm.text, B377,
  _xlpm.keywords, Category!$A$1:$A$100,
  _xlpm.matches, _xlfn._xlws.FILTER(_xlpm.keywords, ISNUMBER(SEARCH(_xlpm.keywords, _xlpm.text))),
  IF(COUNTA(_xlpm.matches) &gt; 0, INDEX(_xlpm.matches, 1), "")
)</f>
        <v>Zero Client</v>
      </c>
      <c r="G377" t="str">
        <f t="shared" si="5"/>
        <v>https://www8.hp.com/h20195/v2/GetDocument.aspx?docname=c05477268</v>
      </c>
    </row>
    <row r="378" spans="1:7" x14ac:dyDescent="0.25">
      <c r="A378" t="s">
        <v>787</v>
      </c>
      <c r="B378" t="s">
        <v>788</v>
      </c>
      <c r="C378" t="s">
        <v>789</v>
      </c>
      <c r="D378" t="s">
        <v>790</v>
      </c>
      <c r="E378" t="str" cm="1">
        <f t="array" ref="E378">_xlfn.LET(
  _xlpm.text, " " &amp; B378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78" t="str">
        <f t="shared" si="5"/>
        <v>https://www8.hp.com/h20195/v2/GetDocument.aspx?docname=c04957266</v>
      </c>
    </row>
    <row r="379" spans="1:7" x14ac:dyDescent="0.25">
      <c r="A379" t="s">
        <v>791</v>
      </c>
      <c r="B379" t="s">
        <v>792</v>
      </c>
      <c r="C379" t="str" cm="1">
        <f t="array" ref="C379">_xlfn.LET(
  _xlpm.text, B379,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79" t="str" cm="1">
        <f t="array" ref="D379">_xlfn.LET(
  _xlpm.text, B379,
  _xlpm.keywords, Category!$A$1:$A$100,
  _xlpm.matches, _xlfn._xlws.FILTER(_xlpm.keywords, ISNUMBER(SEARCH(_xlpm.keywords, _xlpm.text))),
  IF(COUNTA(_xlpm.matches) &gt; 0, INDEX(_xlpm.matches, 1), "")
)</f>
        <v>ProBook</v>
      </c>
      <c r="E379" t="str" cm="1">
        <f t="array" ref="E379">_xlfn.LET(
  _xlpm.text, " " &amp; B379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379" t="s">
        <v>9</v>
      </c>
      <c r="G379" t="str">
        <f t="shared" si="5"/>
        <v>https://www8.hp.com/h20195/v2/GetDocument.aspx?docname=c06514719</v>
      </c>
    </row>
    <row r="380" spans="1:7" x14ac:dyDescent="0.25">
      <c r="A380" t="s">
        <v>793</v>
      </c>
      <c r="B380" t="s">
        <v>794</v>
      </c>
      <c r="C380" t="str" cm="1">
        <f t="array" ref="C380">_xlfn.LET(
  _xlpm.text, B380,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380" t="s">
        <v>1151</v>
      </c>
      <c r="E380" t="str" cm="1">
        <f t="array" ref="E380">_xlfn.LET(
  _xlpm.text, " " &amp; B380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80" t="str">
        <f t="shared" si="5"/>
        <v>https://www8.hp.com/h20195/v2/GetDocument.aspx?docname=c06347327</v>
      </c>
    </row>
    <row r="381" spans="1:7" x14ac:dyDescent="0.25">
      <c r="A381" t="s">
        <v>795</v>
      </c>
      <c r="B381" t="s">
        <v>796</v>
      </c>
      <c r="C381" t="str" cm="1">
        <f t="array" ref="C381">_xlfn.LET(
  _xlpm.text, B381,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381" t="s">
        <v>1151</v>
      </c>
      <c r="E381" t="str" cm="1">
        <f t="array" ref="E381">_xlfn.LET(
  _xlpm.text, " " &amp; B381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81" t="str">
        <f t="shared" si="5"/>
        <v>https://www8.hp.com/h20195/v2/GetDocument.aspx?docname=c06159406</v>
      </c>
    </row>
    <row r="382" spans="1:7" x14ac:dyDescent="0.25">
      <c r="A382" t="s">
        <v>797</v>
      </c>
      <c r="B382" t="s">
        <v>798</v>
      </c>
      <c r="C382" t="str" cm="1">
        <f t="array" ref="C382">_xlfn.LET(
  _xlpm.text, B382,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82" t="str" cm="1">
        <f t="array" ref="D382">_xlfn.LET(
  _xlpm.text, B382,
  _xlpm.keywords, Category!$A$1:$A$100,
  _xlpm.matches, _xlfn._xlws.FILTER(_xlpm.keywords, ISNUMBER(SEARCH(_xlpm.keywords, _xlpm.text))),
  IF(COUNTA(_xlpm.matches) &gt; 0, INDEX(_xlpm.matches, 1), "")
)</f>
        <v>ProBook</v>
      </c>
      <c r="E382" t="str" cm="1">
        <f t="array" ref="E382">_xlfn.LET(
  _xlpm.text, " " &amp; B382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382" t="s">
        <v>9</v>
      </c>
      <c r="G382" t="str">
        <f t="shared" si="5"/>
        <v>https://www8.hp.com/h20195/v2/GetDocument.aspx?docname=c06467148</v>
      </c>
    </row>
    <row r="383" spans="1:7" x14ac:dyDescent="0.25">
      <c r="A383" t="s">
        <v>799</v>
      </c>
      <c r="B383" t="s">
        <v>800</v>
      </c>
      <c r="C383" t="s">
        <v>88</v>
      </c>
      <c r="D383" t="s">
        <v>89</v>
      </c>
      <c r="E383" t="str" cm="1">
        <f t="array" ref="E383">_xlfn.LET(
  _xlpm.text, " " &amp; B383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383" t="s">
        <v>9</v>
      </c>
      <c r="G383" t="str">
        <f t="shared" si="5"/>
        <v>https://www8.hp.com/h20195/v2/GetDocument.aspx?docname=c08210813</v>
      </c>
    </row>
    <row r="384" spans="1:7" x14ac:dyDescent="0.25">
      <c r="A384" t="s">
        <v>801</v>
      </c>
      <c r="B384" t="s">
        <v>802</v>
      </c>
      <c r="C384" t="str" cm="1">
        <f t="array" ref="C384">_xlfn.LET(
  _xlpm.text, B384,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84" t="s">
        <v>75</v>
      </c>
      <c r="E384" t="str" cm="1">
        <f t="array" ref="E384">_xlfn.LET(
  _xlpm.text, " " &amp; B384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84" t="str">
        <f t="shared" si="5"/>
        <v>https://www8.hp.com/h20195/v2/GetDocument.aspx?docname=c08310351</v>
      </c>
    </row>
    <row r="385" spans="1:7" x14ac:dyDescent="0.25">
      <c r="A385" t="s">
        <v>803</v>
      </c>
      <c r="B385" t="s">
        <v>804</v>
      </c>
      <c r="C385" t="s">
        <v>59</v>
      </c>
      <c r="D385" t="s">
        <v>47</v>
      </c>
      <c r="E385" t="str" cm="1">
        <f t="array" ref="E385">_xlfn.LET(
  _xlpm.text, " " &amp; B385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85" t="s">
        <v>9</v>
      </c>
      <c r="G385" t="str">
        <f t="shared" ref="G385:G448" si="6">_xlfn.CONCAT("https://www8.hp.com/h20195/v2/GetDocument.aspx?docname=",A385)</f>
        <v>https://www8.hp.com/h20195/v2/GetDocument.aspx?docname=c08624212</v>
      </c>
    </row>
    <row r="386" spans="1:7" x14ac:dyDescent="0.25">
      <c r="A386" t="s">
        <v>805</v>
      </c>
      <c r="B386" t="s">
        <v>806</v>
      </c>
      <c r="C386" t="s">
        <v>59</v>
      </c>
      <c r="D386" t="s">
        <v>47</v>
      </c>
      <c r="E386" t="str" cm="1">
        <f t="array" ref="E386">_xlfn.LET(
  _xlpm.text, " " &amp; B386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86" t="s">
        <v>9</v>
      </c>
      <c r="G386" t="str">
        <f t="shared" si="6"/>
        <v>https://www8.hp.com/h20195/v2/GetDocument.aspx?docname=c08622396</v>
      </c>
    </row>
    <row r="387" spans="1:7" x14ac:dyDescent="0.25">
      <c r="A387" t="s">
        <v>807</v>
      </c>
      <c r="B387" t="s">
        <v>808</v>
      </c>
      <c r="C387" t="str" cm="1">
        <f t="array" ref="C387">_xlfn.LET(
  _xlpm.text, B387,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87" t="str" cm="1">
        <f t="array" ref="D387">_xlfn.LET(
  _xlpm.text, B387,
  _xlpm.keywords, Category!$A$1:$A$100,
  _xlpm.matches, _xlfn._xlws.FILTER(_xlpm.keywords, ISNUMBER(SEARCH(_xlpm.keywords, _xlpm.text))),
  IF(COUNTA(_xlpm.matches) &gt; 0, INDEX(_xlpm.matches, 1), "")
)</f>
        <v>ChromeBook</v>
      </c>
      <c r="E387" t="str" cm="1">
        <f t="array" ref="E387">_xlfn.LET(
  _xlpm.text, " " &amp; B387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87" t="s">
        <v>9</v>
      </c>
      <c r="G387" t="str">
        <f t="shared" si="6"/>
        <v>https://www8.hp.com/h20195/v2/GetDocument.aspx?docname=c06952549</v>
      </c>
    </row>
    <row r="388" spans="1:7" x14ac:dyDescent="0.25">
      <c r="A388" t="s">
        <v>809</v>
      </c>
      <c r="B388" t="s">
        <v>810</v>
      </c>
      <c r="C388" t="str" cm="1">
        <f t="array" ref="C388">_xlfn.LET(
  _xlpm.text, B388,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388" t="str" cm="1">
        <f t="array" ref="D388">_xlfn.LET(
  _xlpm.text, B388,
  _xlpm.keywords, Category!$A$1:$A$100,
  _xlpm.matches, _xlfn._xlws.FILTER(_xlpm.keywords, ISNUMBER(SEARCH(_xlpm.keywords, _xlpm.text))),
  IF(COUNTA(_xlpm.matches) &gt; 0, INDEX(_xlpm.matches, 1), "")
)</f>
        <v>x2</v>
      </c>
      <c r="E388" t="str" cm="1">
        <f t="array" ref="E388">_xlfn.LET(
  _xlpm.text, " " &amp; B388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388" t="s">
        <v>9</v>
      </c>
      <c r="G388" t="str">
        <f t="shared" si="6"/>
        <v>https://www8.hp.com/h20195/v2/GetDocument.aspx?docname=c06061735</v>
      </c>
    </row>
    <row r="389" spans="1:7" x14ac:dyDescent="0.25">
      <c r="A389" t="s">
        <v>811</v>
      </c>
      <c r="B389" t="s">
        <v>812</v>
      </c>
      <c r="C389" t="s">
        <v>41</v>
      </c>
      <c r="D389" t="s">
        <v>47</v>
      </c>
      <c r="E389" t="str" cm="1">
        <f t="array" ref="E389">_xlfn.LET(
  _xlpm.text, " " &amp; B389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89" t="s">
        <v>9</v>
      </c>
      <c r="G389" t="str">
        <f t="shared" si="6"/>
        <v>https://www8.hp.com/h20195/v2/GetDocument.aspx?docname=c04747405</v>
      </c>
    </row>
    <row r="390" spans="1:7" x14ac:dyDescent="0.25">
      <c r="A390" t="s">
        <v>813</v>
      </c>
      <c r="B390" t="s">
        <v>814</v>
      </c>
      <c r="C390" t="s">
        <v>20</v>
      </c>
      <c r="D390" t="s">
        <v>47</v>
      </c>
      <c r="E390" t="str" cm="1">
        <f t="array" ref="E390">_xlfn.LET(
  _xlpm.text, " " &amp; B390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90" t="s">
        <v>9</v>
      </c>
      <c r="G390" t="str">
        <f t="shared" si="6"/>
        <v>https://www8.hp.com/h20195/v2/GetDocument.aspx?docname=c06042607</v>
      </c>
    </row>
    <row r="391" spans="1:7" x14ac:dyDescent="0.25">
      <c r="A391" t="s">
        <v>815</v>
      </c>
      <c r="B391" t="s">
        <v>816</v>
      </c>
      <c r="C391" t="s">
        <v>20</v>
      </c>
      <c r="D391" t="s">
        <v>47</v>
      </c>
      <c r="F391" t="s">
        <v>9</v>
      </c>
      <c r="G391" t="str">
        <f t="shared" si="6"/>
        <v>https://www8.hp.com/h20195/v2/GetDocument.aspx?docname=c05389356</v>
      </c>
    </row>
    <row r="392" spans="1:7" x14ac:dyDescent="0.25">
      <c r="A392" t="s">
        <v>817</v>
      </c>
      <c r="B392" t="s">
        <v>818</v>
      </c>
      <c r="C392" t="s">
        <v>20</v>
      </c>
      <c r="D392" t="s">
        <v>47</v>
      </c>
      <c r="E392" t="str" cm="1">
        <f t="array" ref="E392">_xlfn.LET(
  _xlpm.text, " " &amp; B392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92" t="s">
        <v>9</v>
      </c>
      <c r="G392" t="str">
        <f t="shared" si="6"/>
        <v>https://www8.hp.com/h20195/v2/GetDocument.aspx?docname=c06043772</v>
      </c>
    </row>
    <row r="393" spans="1:7" x14ac:dyDescent="0.25">
      <c r="A393" t="s">
        <v>819</v>
      </c>
      <c r="B393" t="s">
        <v>820</v>
      </c>
      <c r="C393" t="s">
        <v>20</v>
      </c>
      <c r="D393" t="s">
        <v>47</v>
      </c>
      <c r="E393" t="str" cm="1">
        <f t="array" ref="E393">_xlfn.LET(
  _xlpm.text, " " &amp; B393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393" t="s">
        <v>9</v>
      </c>
      <c r="G393" t="str">
        <f t="shared" si="6"/>
        <v>https://www8.hp.com/h20195/v2/GetDocument.aspx?docname=c06043749</v>
      </c>
    </row>
    <row r="394" spans="1:7" x14ac:dyDescent="0.25">
      <c r="A394" t="s">
        <v>821</v>
      </c>
      <c r="B394" t="s">
        <v>822</v>
      </c>
      <c r="C394" t="str" cm="1">
        <f t="array" ref="C394">_xlfn.LET(
  _xlpm.text, B394,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394" t="s">
        <v>75</v>
      </c>
      <c r="E394" t="str" cm="1">
        <f t="array" ref="E394">_xlfn.LET(
  _xlpm.text, " " &amp; B394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394" t="str">
        <f t="shared" si="6"/>
        <v>https://www8.hp.com/h20195/v2/GetDocument.aspx?docname=c08692716</v>
      </c>
    </row>
    <row r="395" spans="1:7" x14ac:dyDescent="0.25">
      <c r="A395" t="s">
        <v>823</v>
      </c>
      <c r="B395" t="s">
        <v>824</v>
      </c>
      <c r="C395" t="s">
        <v>20</v>
      </c>
      <c r="D395" t="s">
        <v>56</v>
      </c>
      <c r="E395" t="str" cm="1">
        <f t="array" ref="E395">_xlfn.LET(
  _xlpm.text, " " &amp; B395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395" t="s">
        <v>9</v>
      </c>
      <c r="G395" t="str">
        <f t="shared" si="6"/>
        <v>https://www8.hp.com/h20195/v2/GetDocument.aspx?docname=c06429537</v>
      </c>
    </row>
    <row r="396" spans="1:7" x14ac:dyDescent="0.25">
      <c r="A396" t="s">
        <v>825</v>
      </c>
      <c r="B396" t="s">
        <v>826</v>
      </c>
      <c r="C396" t="str" cm="1">
        <f t="array" ref="C396">_xlfn.LET(
  _xlpm.text, B396,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396" t="str" cm="1">
        <f t="array" ref="D396">_xlfn.LET(
  _xlpm.text, B396,
  _xlpm.keywords, Category!$A$1:$A$100,
  _xlpm.matches, _xlfn._xlws.FILTER(_xlpm.keywords, ISNUMBER(SEARCH(_xlpm.keywords, _xlpm.text))),
  IF(COUNTA(_xlpm.matches) &gt; 0, INDEX(_xlpm.matches, 1), "")
)</f>
        <v>ProDesk</v>
      </c>
      <c r="E396" t="str" cm="1">
        <f t="array" ref="E396">_xlfn.LET(
  _xlpm.text, " " &amp; B396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396" t="str">
        <f t="shared" si="6"/>
        <v>https://www8.hp.com/h20195/v2/GetDocument.aspx?docname=c06045417</v>
      </c>
    </row>
    <row r="397" spans="1:7" x14ac:dyDescent="0.25">
      <c r="A397" t="s">
        <v>827</v>
      </c>
      <c r="B397" t="s">
        <v>828</v>
      </c>
      <c r="C397" t="str" cm="1">
        <f t="array" ref="C397">_xlfn.LET(
  _xlpm.text, B397,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397" t="s">
        <v>1159</v>
      </c>
      <c r="E397" t="str" cm="1">
        <f t="array" ref="E397">_xlfn.LET(
  _xlpm.text, " " &amp; B397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397" t="str">
        <f t="shared" si="6"/>
        <v>https://www8.hp.com/h20195/v2/GetDocument.aspx?docname=c05987462</v>
      </c>
    </row>
    <row r="398" spans="1:7" x14ac:dyDescent="0.25">
      <c r="A398" t="s">
        <v>829</v>
      </c>
      <c r="B398" t="s">
        <v>830</v>
      </c>
      <c r="C398" t="s">
        <v>59</v>
      </c>
      <c r="D398" t="s">
        <v>70</v>
      </c>
      <c r="E398" t="str" cm="1">
        <f t="array" ref="E398">_xlfn.LET(
  _xlpm.text, " " &amp; B398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98" t="str">
        <f t="shared" si="6"/>
        <v>https://www8.hp.com/h20195/v2/GetDocument.aspx?docname=c05893139</v>
      </c>
    </row>
    <row r="399" spans="1:7" x14ac:dyDescent="0.25">
      <c r="A399" t="s">
        <v>831</v>
      </c>
      <c r="B399" t="s">
        <v>832</v>
      </c>
      <c r="C399" t="s">
        <v>156</v>
      </c>
      <c r="D399" t="s">
        <v>145</v>
      </c>
      <c r="E399" t="str" cm="1">
        <f t="array" ref="E399">_xlfn.LET(
  _xlpm.text, " " &amp; B399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399" t="str">
        <f t="shared" si="6"/>
        <v>https://www8.hp.com/h20195/v2/GetDocument.aspx?docname=c06314289</v>
      </c>
    </row>
    <row r="400" spans="1:7" x14ac:dyDescent="0.25">
      <c r="A400" t="s">
        <v>833</v>
      </c>
      <c r="B400" t="s">
        <v>834</v>
      </c>
      <c r="C400" t="str" cm="1">
        <f t="array" ref="C400">_xlfn.LET(
  _xlpm.text, B400,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00" t="str" cm="1">
        <f t="array" ref="D400">_xlfn.LET(
  _xlpm.text, B400,
  _xlpm.keywords, Category!$A$1:$A$100,
  _xlpm.matches, _xlfn._xlws.FILTER(_xlpm.keywords, ISNUMBER(SEARCH(_xlpm.keywords, _xlpm.text))),
  IF(COUNTA(_xlpm.matches) &gt; 0, INDEX(_xlpm.matches, 1), "")
)</f>
        <v>ProBook</v>
      </c>
      <c r="E400" t="str" cm="1">
        <f t="array" ref="E400">_xlfn.LET(
  _xlpm.text, " " &amp; B400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F400" t="s">
        <v>9</v>
      </c>
      <c r="G400" t="str">
        <f t="shared" si="6"/>
        <v>https://www8.hp.com/h20195/v2/GetDocument.aspx?docname=c06543048</v>
      </c>
    </row>
    <row r="401" spans="1:7" x14ac:dyDescent="0.25">
      <c r="A401" t="s">
        <v>835</v>
      </c>
      <c r="B401" t="s">
        <v>836</v>
      </c>
      <c r="C401" t="str" cm="1">
        <f t="array" ref="C401">_xlfn.LET(
  _xlpm.text, B401,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01" t="str" cm="1">
        <f t="array" ref="D401">_xlfn.LET(
  _xlpm.text, B401,
  _xlpm.keywords, Category!$A$1:$A$100,
  _xlpm.matches, _xlfn._xlws.FILTER(_xlpm.keywords, ISNUMBER(SEARCH(_xlpm.keywords, _xlpm.text))),
  IF(COUNTA(_xlpm.matches) &gt; 0, INDEX(_xlpm.matches, 1), "")
)</f>
        <v>Series 3</v>
      </c>
      <c r="E401" t="str" cm="1">
        <f t="array" ref="E401">_xlfn.LET(
  _xlpm.text, " " &amp; B401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01" t="str">
        <f t="shared" si="6"/>
        <v>https://www8.hp.com/h20195/v2/GetDocument.aspx?docname=c09048046</v>
      </c>
    </row>
    <row r="402" spans="1:7" x14ac:dyDescent="0.25">
      <c r="A402" t="s">
        <v>837</v>
      </c>
      <c r="B402" t="s">
        <v>838</v>
      </c>
      <c r="C402" t="str" cm="1">
        <f t="array" ref="C402">_xlfn.LET(
  _xlpm.text, B402,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02" t="str" cm="1">
        <f t="array" ref="D402">_xlfn.LET(
  _xlpm.text, B402,
  _xlpm.keywords, Category!$A$1:$A$100,
  _xlpm.matches, _xlfn._xlws.FILTER(_xlpm.keywords, ISNUMBER(SEARCH(_xlpm.keywords, _xlpm.text))),
  IF(COUNTA(_xlpm.matches) &gt; 0, INDEX(_xlpm.matches, 1), "")
)</f>
        <v>Chromebox</v>
      </c>
      <c r="E402" t="str" cm="1">
        <f t="array" ref="E402">_xlfn.LET(
  _xlpm.text, " " &amp; B402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02" t="str">
        <f t="shared" si="6"/>
        <v>https://www8.hp.com/h20195/v2/GetDocument.aspx?docname=c08622395</v>
      </c>
    </row>
    <row r="403" spans="1:7" x14ac:dyDescent="0.25">
      <c r="A403" t="s">
        <v>839</v>
      </c>
      <c r="B403" t="s">
        <v>840</v>
      </c>
      <c r="C403" t="str" cm="1">
        <f t="array" ref="C403">_xlfn.LET(
  _xlpm.text, B403,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03" t="str" cm="1">
        <f t="array" ref="D403">_xlfn.LET(
  _xlpm.text, B403,
  _xlpm.keywords, Category!$A$1:$A$100,
  _xlpm.matches, _xlfn._xlws.FILTER(_xlpm.keywords, ISNUMBER(SEARCH(_xlpm.keywords, _xlpm.text))),
  IF(COUNTA(_xlpm.matches) &gt; 0, INDEX(_xlpm.matches, 1), "")
)</f>
        <v>ProBook</v>
      </c>
      <c r="E403" t="str" cm="1">
        <f t="array" ref="E403">_xlfn.LET(
  _xlpm.text, " " &amp; B403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03" t="str">
        <f t="shared" si="6"/>
        <v>https://www8.hp.com/h20195/v2/GetDocument.aspx?docname=c07856868</v>
      </c>
    </row>
    <row r="404" spans="1:7" x14ac:dyDescent="0.25">
      <c r="A404" t="s">
        <v>841</v>
      </c>
      <c r="B404" t="s">
        <v>842</v>
      </c>
      <c r="C404" t="str" cm="1">
        <f t="array" ref="C404">_xlfn.LET(
  _xlpm.text, B404,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04" t="s">
        <v>85</v>
      </c>
      <c r="E404" t="str" cm="1">
        <f t="array" ref="E404">_xlfn.LET(
  _xlpm.text, " " &amp; B404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04" t="str">
        <f t="shared" si="6"/>
        <v>https://www8.hp.com/h20195/v2/GetDocument.aspx?docname=c07062920</v>
      </c>
    </row>
    <row r="405" spans="1:7" x14ac:dyDescent="0.25">
      <c r="A405" t="s">
        <v>843</v>
      </c>
      <c r="B405" t="s">
        <v>844</v>
      </c>
      <c r="C405" t="str" cm="1">
        <f t="array" ref="C405">_xlfn.LET(
  _xlpm.text, B405,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05" t="str" cm="1">
        <f t="array" ref="D405">_xlfn.LET(
  _xlpm.text, B405,
  _xlpm.keywords, Category!$A$1:$A$100,
  _xlpm.matches, _xlfn._xlws.FILTER(_xlpm.keywords, ISNUMBER(SEARCH(_xlpm.keywords, _xlpm.text))),
  IF(COUNTA(_xlpm.matches) &gt; 0, INDEX(_xlpm.matches, 1), "")
)</f>
        <v>EliteBook</v>
      </c>
      <c r="E405" t="str" cm="1">
        <f t="array" ref="E405">_xlfn.LET(
  _xlpm.text, " " &amp; B405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05" t="str">
        <f t="shared" si="6"/>
        <v>https://www8.hp.com/h20195/v2/GetDocument.aspx?docname=c08487729</v>
      </c>
    </row>
    <row r="406" spans="1:7" x14ac:dyDescent="0.25">
      <c r="A406" t="s">
        <v>845</v>
      </c>
      <c r="B406" t="s">
        <v>846</v>
      </c>
      <c r="C406" t="str" cm="1">
        <f t="array" ref="C406">_xlfn.LET(
  _xlpm.text, B406,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06" t="str" cm="1">
        <f t="array" ref="D406">_xlfn.LET(
  _xlpm.text, B406,
  _xlpm.keywords, Category!$A$1:$A$100,
  _xlpm.matches, _xlfn._xlws.FILTER(_xlpm.keywords, ISNUMBER(SEARCH(_xlpm.keywords, _xlpm.text))),
  IF(COUNTA(_xlpm.matches) &gt; 0, INDEX(_xlpm.matches, 1), "")
)</f>
        <v>ProBook</v>
      </c>
      <c r="E406" t="str" cm="1">
        <f t="array" ref="E406">_xlfn.LET(
  _xlpm.text, " " &amp; B406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06" t="str">
        <f t="shared" si="6"/>
        <v>https://www8.hp.com/h20195/v2/GetDocument.aspx?docname=c07949016</v>
      </c>
    </row>
    <row r="407" spans="1:7" x14ac:dyDescent="0.25">
      <c r="A407" t="s">
        <v>847</v>
      </c>
      <c r="B407" t="s">
        <v>848</v>
      </c>
      <c r="C407" t="str" cm="1">
        <f t="array" ref="C407">_xlfn.LET(
  _xlpm.text, B407,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07" t="s">
        <v>85</v>
      </c>
      <c r="E407" t="str" cm="1">
        <f t="array" ref="E407">_xlfn.LET(
  _xlpm.text, " " &amp; B407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07" t="str">
        <f t="shared" si="6"/>
        <v>https://www8.hp.com/h20195/v2/GetDocument.aspx?docname=c08392796</v>
      </c>
    </row>
    <row r="408" spans="1:7" x14ac:dyDescent="0.25">
      <c r="A408" t="s">
        <v>849</v>
      </c>
      <c r="B408" t="s">
        <v>850</v>
      </c>
      <c r="C408" t="str" cm="1">
        <f t="array" ref="C408">_xlfn.LET(
  _xlpm.text, B408,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08" t="str" cm="1">
        <f t="array" ref="D408">_xlfn.LET(
  _xlpm.text, B408,
  _xlpm.keywords, Category!$A$1:$A$100,
  _xlpm.matches, _xlfn._xlws.FILTER(_xlpm.keywords, ISNUMBER(SEARCH(_xlpm.keywords, _xlpm.text))),
  IF(COUNTA(_xlpm.matches) &gt; 0, INDEX(_xlpm.matches, 1), "")
)</f>
        <v>ZBook</v>
      </c>
      <c r="E408" t="str" cm="1">
        <f t="array" ref="E408">_xlfn.LET(
  _xlpm.text, " " &amp; B408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08" t="str">
        <f t="shared" si="6"/>
        <v>https://www8.hp.com/h20195/v2/GetDocument.aspx?docname=c08620446</v>
      </c>
    </row>
    <row r="409" spans="1:7" x14ac:dyDescent="0.25">
      <c r="A409" t="s">
        <v>851</v>
      </c>
      <c r="B409" t="s">
        <v>852</v>
      </c>
      <c r="C409" t="s">
        <v>41</v>
      </c>
      <c r="D409" t="s">
        <v>224</v>
      </c>
      <c r="E409" t="str" cm="1">
        <f t="array" ref="E409">_xlfn.LET(
  _xlpm.text, " " &amp; B409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09" t="str">
        <f t="shared" si="6"/>
        <v>https://www8.hp.com/h20195/v2/GetDocument.aspx?docname=c08487727</v>
      </c>
    </row>
    <row r="410" spans="1:7" x14ac:dyDescent="0.25">
      <c r="A410" t="s">
        <v>853</v>
      </c>
      <c r="B410" t="s">
        <v>854</v>
      </c>
      <c r="C410" t="str" cm="1">
        <f t="array" ref="C410">_xlfn.LET(
  _xlpm.text, B410,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0" t="str" cm="1">
        <f t="array" ref="D410">_xlfn.LET(
  _xlpm.text, B410,
  _xlpm.keywords, Category!$A$1:$A$100,
  _xlpm.matches, _xlfn._xlws.FILTER(_xlpm.keywords, ISNUMBER(SEARCH(_xlpm.keywords, _xlpm.text))),
  IF(COUNTA(_xlpm.matches) &gt; 0, INDEX(_xlpm.matches, 1), "")
)</f>
        <v>Scanner</v>
      </c>
      <c r="E410" t="str" cm="1">
        <f t="array" ref="E410">_xlfn.LET(
  _xlpm.text, " " &amp; B410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0" t="str">
        <f t="shared" si="6"/>
        <v>https://www8.hp.com/h20195/v2/GetDocument.aspx?docname=c08005734</v>
      </c>
    </row>
    <row r="411" spans="1:7" x14ac:dyDescent="0.25">
      <c r="A411" t="s">
        <v>855</v>
      </c>
      <c r="B411" t="s">
        <v>856</v>
      </c>
      <c r="C411" t="str" cm="1">
        <f t="array" ref="C411">_xlfn.LET(
  _xlpm.text, B411,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1" t="s">
        <v>1149</v>
      </c>
      <c r="E411" t="str" cm="1">
        <f t="array" ref="E411">_xlfn.LET(
  _xlpm.text, " " &amp; B411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1" t="str">
        <f t="shared" si="6"/>
        <v>https://www8.hp.com/h20195/v2/GetDocument.aspx?docname=c08169372</v>
      </c>
    </row>
    <row r="412" spans="1:7" x14ac:dyDescent="0.25">
      <c r="A412" t="s">
        <v>857</v>
      </c>
      <c r="B412" t="s">
        <v>858</v>
      </c>
      <c r="C412" t="s">
        <v>156</v>
      </c>
      <c r="D412" t="s">
        <v>145</v>
      </c>
      <c r="E412" t="str" cm="1">
        <f t="array" ref="E412">_xlfn.LET(
  _xlpm.text, " " &amp; B412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2" t="str">
        <f t="shared" si="6"/>
        <v>https://www8.hp.com/h20195/v2/GetDocument.aspx?docname=c04964788</v>
      </c>
    </row>
    <row r="413" spans="1:7" x14ac:dyDescent="0.25">
      <c r="A413" t="s">
        <v>859</v>
      </c>
      <c r="B413" t="s">
        <v>860</v>
      </c>
      <c r="C413" t="str" cm="1">
        <f t="array" ref="C413">_xlfn.LET(
  _xlpm.text, B413,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13" t="str" cm="1">
        <f t="array" ref="D413">_xlfn.LET(
  _xlpm.text, B413,
  _xlpm.keywords, Category!$A$1:$A$100,
  _xlpm.matches, _xlfn._xlws.FILTER(_xlpm.keywords, ISNUMBER(SEARCH(_xlpm.keywords, _xlpm.text))),
  IF(COUNTA(_xlpm.matches) &gt; 0, INDEX(_xlpm.matches, 1), "")
)</f>
        <v>EliteBook</v>
      </c>
      <c r="E413" t="s">
        <v>861</v>
      </c>
      <c r="G413" t="str">
        <f t="shared" si="6"/>
        <v>https://www8.hp.com/h20195/v2/GetDocument.aspx?docname=c09018515</v>
      </c>
    </row>
    <row r="414" spans="1:7" x14ac:dyDescent="0.25">
      <c r="A414" t="s">
        <v>862</v>
      </c>
      <c r="B414" t="s">
        <v>863</v>
      </c>
      <c r="C414" t="s">
        <v>156</v>
      </c>
      <c r="D414" t="s">
        <v>145</v>
      </c>
      <c r="E414" t="str" cm="1">
        <f t="array" ref="E414">_xlfn.LET(
  _xlpm.text, " " &amp; B414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4" t="str">
        <f t="shared" si="6"/>
        <v>https://www8.hp.com/h20195/v2/GetDocument.aspx?docname=c08411169</v>
      </c>
    </row>
    <row r="415" spans="1:7" x14ac:dyDescent="0.25">
      <c r="A415" t="s">
        <v>864</v>
      </c>
      <c r="B415" t="s">
        <v>865</v>
      </c>
      <c r="C415" t="str" cm="1">
        <f t="array" ref="C415">_xlfn.LET(
  _xlpm.text, B415,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5" t="s">
        <v>1149</v>
      </c>
      <c r="E415" t="str" cm="1">
        <f t="array" ref="E415">_xlfn.LET(
  _xlpm.text, " " &amp; B415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5" t="str">
        <f t="shared" si="6"/>
        <v>https://www8.hp.com/h20195/v2/GetDocument.aspx?docname=c07072830</v>
      </c>
    </row>
    <row r="416" spans="1:7" x14ac:dyDescent="0.25">
      <c r="A416" t="s">
        <v>866</v>
      </c>
      <c r="B416" t="s">
        <v>867</v>
      </c>
      <c r="C416" t="str" cm="1">
        <f t="array" ref="C416">_xlfn.LET(
  _xlpm.text, B416,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6" t="s">
        <v>78</v>
      </c>
      <c r="G416" t="str">
        <f t="shared" si="6"/>
        <v>https://www8.hp.com/h20195/v2/GetDocument.aspx?docname=c08409209</v>
      </c>
    </row>
    <row r="417" spans="1:7" x14ac:dyDescent="0.25">
      <c r="A417" t="s">
        <v>868</v>
      </c>
      <c r="B417" t="s">
        <v>869</v>
      </c>
      <c r="C417" t="str" cm="1">
        <f t="array" ref="C417">_xlfn.LET(
  _xlpm.text, B417,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7" t="str" cm="1">
        <f t="array" ref="D417">_xlfn.LET(
  _xlpm.text, B417,
  _xlpm.keywords, Category!$A$1:$A$100,
  _xlpm.matches, _xlfn._xlws.FILTER(_xlpm.keywords, ISNUMBER(SEARCH(_xlpm.keywords, _xlpm.text))),
  IF(COUNTA(_xlpm.matches) &gt; 0, INDEX(_xlpm.matches, 1), "")
)</f>
        <v>Scanner</v>
      </c>
      <c r="E417" t="str" cm="1">
        <f t="array" ref="E417">_xlfn.LET(
  _xlpm.text, " " &amp; B417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7" t="str">
        <f t="shared" si="6"/>
        <v>https://www8.hp.com/h20195/v2/GetDocument.aspx?docname=c06596847</v>
      </c>
    </row>
    <row r="418" spans="1:7" x14ac:dyDescent="0.25">
      <c r="A418" t="s">
        <v>870</v>
      </c>
      <c r="B418" t="s">
        <v>871</v>
      </c>
      <c r="C418" t="str" cm="1">
        <f t="array" ref="C418">_xlfn.LET(
  _xlpm.text, B418,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8" t="s">
        <v>1150</v>
      </c>
      <c r="E418" t="str" cm="1">
        <f t="array" ref="E418">_xlfn.LET(
  _xlpm.text, " " &amp; B418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8" t="str">
        <f t="shared" si="6"/>
        <v>https://www8.hp.com/h20195/v2/GetDocument.aspx?docname=c04123365</v>
      </c>
    </row>
    <row r="419" spans="1:7" x14ac:dyDescent="0.25">
      <c r="A419" t="s">
        <v>872</v>
      </c>
      <c r="B419" t="s">
        <v>873</v>
      </c>
      <c r="C419" t="str" cm="1">
        <f t="array" ref="C419">_xlfn.LET(
  _xlpm.text, B419,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19" t="s">
        <v>1149</v>
      </c>
      <c r="E419" t="str" cm="1">
        <f t="array" ref="E419">_xlfn.LET(
  _xlpm.text, " " &amp; B419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19" t="str">
        <f t="shared" si="6"/>
        <v>https://www8.hp.com/h20195/v2/GetDocument.aspx?docname=c05573121</v>
      </c>
    </row>
    <row r="420" spans="1:7" x14ac:dyDescent="0.25">
      <c r="A420" t="s">
        <v>874</v>
      </c>
      <c r="B420" t="s">
        <v>875</v>
      </c>
      <c r="C420" t="str" cm="1">
        <f t="array" ref="C420">_xlfn.LET(
  _xlpm.text, B420,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20" t="s">
        <v>75</v>
      </c>
      <c r="E420" t="str" cm="1">
        <f t="array" ref="E420">_xlfn.LET(
  _xlpm.text, " " &amp; B420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20" t="str">
        <f t="shared" si="6"/>
        <v>https://www8.hp.com/h20195/v2/GetDocument.aspx?docname=c08310350</v>
      </c>
    </row>
    <row r="421" spans="1:7" x14ac:dyDescent="0.25">
      <c r="A421" t="s">
        <v>876</v>
      </c>
      <c r="B421" t="s">
        <v>877</v>
      </c>
      <c r="C421" t="str" cm="1">
        <f t="array" ref="C421">_xlfn.LET(
  _xlpm.text, B421,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21" t="str" cm="1">
        <f t="array" ref="D421">_xlfn.LET(
  _xlpm.text, B421,
  _xlpm.keywords, Category!$A$1:$A$100,
  _xlpm.matches, _xlfn._xlws.FILTER(_xlpm.keywords, ISNUMBER(SEARCH(_xlpm.keywords, _xlpm.text))),
  IF(COUNTA(_xlpm.matches) &gt; 0, INDEX(_xlpm.matches, 1), "")
)</f>
        <v>Series 5</v>
      </c>
      <c r="E421" t="str" cm="1">
        <f t="array" ref="E421">_xlfn.LET(
  _xlpm.text, " " &amp; B421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21" t="str">
        <f t="shared" si="6"/>
        <v>https://www8.hp.com/h20195/v2/GetDocument.aspx?docname=c09037964</v>
      </c>
    </row>
    <row r="422" spans="1:7" x14ac:dyDescent="0.25">
      <c r="A422" t="s">
        <v>878</v>
      </c>
      <c r="B422" t="s">
        <v>879</v>
      </c>
      <c r="C422" t="str" cm="1">
        <f t="array" ref="C422">_xlfn.LET(
  _xlpm.text, B422,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22" t="str" cm="1">
        <f t="array" ref="D422">_xlfn.LET(
  _xlpm.text, B422,
  _xlpm.keywords, Category!$A$1:$A$100,
  _xlpm.matches, _xlfn._xlws.FILTER(_xlpm.keywords, ISNUMBER(SEARCH(_xlpm.keywords, _xlpm.text))),
  IF(COUNTA(_xlpm.matches) &gt; 0, INDEX(_xlpm.matches, 1), "")
)</f>
        <v>ZBook</v>
      </c>
      <c r="E422" t="str" cm="1">
        <f t="array" ref="E422">_xlfn.LET(
  _xlpm.text, " " &amp; B422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22" t="str">
        <f t="shared" si="6"/>
        <v>https://www8.hp.com/h20195/v2/GetDocument.aspx?docname=c08580055</v>
      </c>
    </row>
    <row r="423" spans="1:7" x14ac:dyDescent="0.25">
      <c r="A423" t="s">
        <v>880</v>
      </c>
      <c r="B423" t="s">
        <v>881</v>
      </c>
      <c r="C423" t="str" cm="1">
        <f t="array" ref="C423">_xlfn.LET(
  _xlpm.text, B423,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23" t="str" cm="1">
        <f t="array" ref="D423">_xlfn.LET(
  _xlpm.text, B423,
  _xlpm.keywords, Category!$A$1:$A$100,
  _xlpm.matches, _xlfn._xlws.FILTER(_xlpm.keywords, ISNUMBER(SEARCH(_xlpm.keywords, _xlpm.text))),
  IF(COUNTA(_xlpm.matches) &gt; 0, INDEX(_xlpm.matches, 1), "")
)</f>
        <v>Fortis</v>
      </c>
      <c r="E423" t="str" cm="1">
        <f t="array" ref="E423">_xlfn.LET(
  _xlpm.text, " " &amp; B423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423" t="str">
        <f t="shared" si="6"/>
        <v>https://www8.hp.com/h20195/v2/GetDocument.aspx?docname=c08406316</v>
      </c>
    </row>
    <row r="424" spans="1:7" x14ac:dyDescent="0.25">
      <c r="A424" t="s">
        <v>882</v>
      </c>
      <c r="B424" t="s">
        <v>883</v>
      </c>
      <c r="C424" t="str" cm="1">
        <f t="array" ref="C424">_xlfn.LET(
  _xlpm.text, B424,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24" t="str" cm="1">
        <f t="array" ref="D424">_xlfn.LET(
  _xlpm.text, B424,
  _xlpm.keywords, Category!$A$1:$A$100,
  _xlpm.matches, _xlfn._xlws.FILTER(_xlpm.keywords, ISNUMBER(SEARCH(_xlpm.keywords, _xlpm.text))),
  IF(COUNTA(_xlpm.matches) &gt; 0, INDEX(_xlpm.matches, 1), "")
)</f>
        <v>ZBook</v>
      </c>
      <c r="E424" t="str" cm="1">
        <f t="array" ref="E424">_xlfn.LET(
  _xlpm.text, " " &amp; B424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424" t="str">
        <f t="shared" si="6"/>
        <v>https://www8.hp.com/h20195/v2/GetDocument.aspx?docname=c08954642</v>
      </c>
    </row>
    <row r="425" spans="1:7" x14ac:dyDescent="0.25">
      <c r="A425" t="s">
        <v>884</v>
      </c>
      <c r="B425" t="s">
        <v>885</v>
      </c>
      <c r="C425" t="str" cm="1">
        <f t="array" ref="C425">_xlfn.LET(
  _xlpm.text, B425,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25" t="s">
        <v>21</v>
      </c>
      <c r="E425" t="str" cm="1">
        <f t="array" ref="E425">_xlfn.LET(
  _xlpm.text, " " &amp; B425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25" t="str">
        <f t="shared" si="6"/>
        <v>https://www8.hp.com/h20195/v2/GetDocument.aspx?docname=c08060742</v>
      </c>
    </row>
    <row r="426" spans="1:7" x14ac:dyDescent="0.25">
      <c r="A426" t="s">
        <v>886</v>
      </c>
      <c r="B426" t="s">
        <v>887</v>
      </c>
      <c r="C426" t="str" cm="1">
        <f t="array" ref="C426">_xlfn.LET(
  _xlpm.text, B426,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26" t="str" cm="1">
        <f t="array" ref="D426">_xlfn.LET(
  _xlpm.text, B426,
  _xlpm.keywords, Category!$A$1:$A$100,
  _xlpm.matches, _xlfn._xlws.FILTER(_xlpm.keywords, ISNUMBER(SEARCH(_xlpm.keywords, _xlpm.text))),
  IF(COUNTA(_xlpm.matches) &gt; 0, INDEX(_xlpm.matches, 1), "")
)</f>
        <v>ChromeBook</v>
      </c>
      <c r="E426" t="s">
        <v>179</v>
      </c>
      <c r="G426" t="str">
        <f t="shared" si="6"/>
        <v>https://www8.hp.com/h20195/v2/GetDocument.aspx?docname=c09073630</v>
      </c>
    </row>
    <row r="427" spans="1:7" x14ac:dyDescent="0.25">
      <c r="A427" t="s">
        <v>888</v>
      </c>
      <c r="B427" t="s">
        <v>889</v>
      </c>
      <c r="C427" t="str" cm="1">
        <f t="array" ref="C427">_xlfn.LET(
  _xlpm.text, B427,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27" t="str" cm="1">
        <f t="array" ref="D427">_xlfn.LET(
  _xlpm.text, B427,
  _xlpm.keywords, Category!$A$1:$A$100,
  _xlpm.matches, _xlfn._xlws.FILTER(_xlpm.keywords, ISNUMBER(SEARCH(_xlpm.keywords, _xlpm.text))),
  IF(COUNTA(_xlpm.matches) &gt; 0, INDEX(_xlpm.matches, 1), "")
)</f>
        <v>ChromeBook</v>
      </c>
      <c r="E427" t="str" cm="1">
        <f t="array" ref="E427">_xlfn.LET(
  _xlpm.text, " " &amp; B427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427" t="str">
        <f t="shared" si="6"/>
        <v>https://www8.hp.com/h20195/v2/GetDocument.aspx?docname=c09073635</v>
      </c>
    </row>
    <row r="428" spans="1:7" x14ac:dyDescent="0.25">
      <c r="A428" t="s">
        <v>890</v>
      </c>
      <c r="B428" t="s">
        <v>94</v>
      </c>
      <c r="C428" t="str" cm="1">
        <f t="array" ref="C428">_xlfn.LET(
  _xlpm.text, B428,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28" t="s">
        <v>95</v>
      </c>
      <c r="E428" t="str" cm="1">
        <f t="array" ref="E428">_xlfn.LET(
  _xlpm.text, " " &amp; B428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28" t="str">
        <f t="shared" si="6"/>
        <v>https://www8.hp.com/h20195/v2/GetDocument.aspx?docname=c08133181</v>
      </c>
    </row>
    <row r="429" spans="1:7" x14ac:dyDescent="0.25">
      <c r="A429" t="s">
        <v>891</v>
      </c>
      <c r="B429" t="s">
        <v>892</v>
      </c>
      <c r="C429" t="str" cm="1">
        <f t="array" ref="C429">_xlfn.LET(
  _xlpm.text, B429,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29" t="str" cm="1">
        <f t="array" ref="D429">_xlfn.LET(
  _xlpm.text, B429,
  _xlpm.keywords, Category!$A$1:$A$100,
  _xlpm.matches, _xlfn._xlws.FILTER(_xlpm.keywords, ISNUMBER(SEARCH(_xlpm.keywords, _xlpm.text))),
  IF(COUNTA(_xlpm.matches) &gt; 0, INDEX(_xlpm.matches, 1), "")
)</f>
        <v>Fortis</v>
      </c>
      <c r="E429" t="str" cm="1">
        <f t="array" ref="E429">_xlfn.LET(
  _xlpm.text, " " &amp; B429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429" t="str">
        <f t="shared" si="6"/>
        <v>https://www8.hp.com/h20195/v2/GetDocument.aspx?docname=c09073632</v>
      </c>
    </row>
    <row r="430" spans="1:7" x14ac:dyDescent="0.25">
      <c r="A430" t="s">
        <v>893</v>
      </c>
      <c r="B430" t="s">
        <v>894</v>
      </c>
      <c r="C430" t="str" cm="1">
        <f t="array" ref="C430">_xlfn.LET(
  _xlpm.text, B430,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30" t="str" cm="1">
        <f t="array" ref="D430">_xlfn.LET(
  _xlpm.text, B430,
  _xlpm.keywords, Category!$A$1:$A$100,
  _xlpm.matches, _xlfn._xlws.FILTER(_xlpm.keywords, ISNUMBER(SEARCH(_xlpm.keywords, _xlpm.text))),
  IF(COUNTA(_xlpm.matches) &gt; 0, INDEX(_xlpm.matches, 1), "")
)</f>
        <v>Engage</v>
      </c>
      <c r="E430" t="str" cm="1">
        <f t="array" ref="E430">_xlfn.LET(
  _xlpm.text, " " &amp; B430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430" t="str">
        <f t="shared" si="6"/>
        <v>https://www8.hp.com/h20195/v2/GetDocument.aspx?docname=c08660924</v>
      </c>
    </row>
    <row r="431" spans="1:7" x14ac:dyDescent="0.25">
      <c r="A431" t="s">
        <v>895</v>
      </c>
      <c r="B431" t="s">
        <v>896</v>
      </c>
      <c r="C431" t="str" cm="1">
        <f t="array" ref="C431">_xlfn.LET(
  _xlpm.text, B431,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31" t="str" cm="1">
        <f t="array" ref="D431">_xlfn.LET(
  _xlpm.text, B431,
  _xlpm.keywords, Category!$A$1:$A$100,
  _xlpm.matches, _xlfn._xlws.FILTER(_xlpm.keywords, ISNUMBER(SEARCH(_xlpm.keywords, _xlpm.text))),
  IF(COUNTA(_xlpm.matches) &gt; 0, INDEX(_xlpm.matches, 1), "")
)</f>
        <v>ZBook</v>
      </c>
      <c r="E431" t="str" cm="1">
        <f t="array" ref="E431">_xlfn.LET(
  _xlpm.text, " " &amp; B431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431" t="str">
        <f t="shared" si="6"/>
        <v>https://www8.hp.com/h20195/v2/GetDocument.aspx?docname=c08923221</v>
      </c>
    </row>
    <row r="432" spans="1:7" x14ac:dyDescent="0.25">
      <c r="A432" t="s">
        <v>897</v>
      </c>
      <c r="B432" t="s">
        <v>898</v>
      </c>
      <c r="C432" t="str" cm="1">
        <f t="array" ref="C432">_xlfn.LET(
  _xlpm.text, B432,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32" t="str" cm="1">
        <f t="array" ref="D432">_xlfn.LET(
  _xlpm.text, B432,
  _xlpm.keywords, Category!$A$1:$A$100,
  _xlpm.matches, _xlfn._xlws.FILTER(_xlpm.keywords, ISNUMBER(SEARCH(_xlpm.keywords, _xlpm.text))),
  IF(COUNTA(_xlpm.matches) &gt; 0, INDEX(_xlpm.matches, 1), "")
)</f>
        <v>Engage</v>
      </c>
      <c r="E432" t="str" cm="1">
        <f t="array" ref="E432">_xlfn.LET(
  _xlpm.text, " " &amp; B432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32" t="str">
        <f t="shared" si="6"/>
        <v>https://www8.hp.com/h20195/v2/GetDocument.aspx?docname=c08410991</v>
      </c>
    </row>
    <row r="433" spans="1:7" x14ac:dyDescent="0.25">
      <c r="A433" t="s">
        <v>899</v>
      </c>
      <c r="B433" t="s">
        <v>900</v>
      </c>
      <c r="C433" t="str" cm="1">
        <f t="array" ref="C433">_xlfn.LET(
  _xlpm.text, B433,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33" t="s">
        <v>21</v>
      </c>
      <c r="E433" t="str" cm="1">
        <f t="array" ref="E433">_xlfn.LET(
  _xlpm.text, " " &amp; B433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33" t="str">
        <f t="shared" si="6"/>
        <v>https://www8.hp.com/h20195/v2/GetDocument.aspx?docname=c08628727</v>
      </c>
    </row>
    <row r="434" spans="1:7" x14ac:dyDescent="0.25">
      <c r="A434" t="s">
        <v>901</v>
      </c>
      <c r="B434" t="s">
        <v>902</v>
      </c>
      <c r="C434" t="str" cm="1">
        <f t="array" ref="C434">_xlfn.LET(
  _xlpm.text, B434,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34" t="str" cm="1">
        <f t="array" ref="D434">_xlfn.LET(
  _xlpm.text, B434,
  _xlpm.keywords, Category!$A$1:$A$100,
  _xlpm.matches, _xlfn._xlws.FILTER(_xlpm.keywords, ISNUMBER(SEARCH(_xlpm.keywords, _xlpm.text))),
  IF(COUNTA(_xlpm.matches) &gt; 0, INDEX(_xlpm.matches, 1), "")
)</f>
        <v>Series 7</v>
      </c>
      <c r="E434" t="str" cm="1">
        <f t="array" ref="E434">_xlfn.LET(
  _xlpm.text, " " &amp; B434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34" t="str">
        <f t="shared" si="6"/>
        <v>https://www8.hp.com/h20195/v2/GetDocument.aspx?docname=c08893148</v>
      </c>
    </row>
    <row r="435" spans="1:7" x14ac:dyDescent="0.25">
      <c r="A435" t="s">
        <v>903</v>
      </c>
      <c r="B435" t="s">
        <v>904</v>
      </c>
      <c r="C435" t="str" cm="1">
        <f t="array" ref="C435">_xlfn.LET(
  _xlpm.text, B435,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35" t="str" cm="1">
        <f t="array" ref="D435">_xlfn.LET(
  _xlpm.text, B435,
  _xlpm.keywords, Category!$A$1:$A$100,
  _xlpm.matches, _xlfn._xlws.FILTER(_xlpm.keywords, ISNUMBER(SEARCH(_xlpm.keywords, _xlpm.text))),
  IF(COUNTA(_xlpm.matches) &gt; 0, INDEX(_xlpm.matches, 1), "")
)</f>
        <v>Series 7</v>
      </c>
      <c r="E435" t="str" cm="1">
        <f t="array" ref="E435">_xlfn.LET(
  _xlpm.text, " " &amp; B435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35" t="str">
        <f t="shared" si="6"/>
        <v>https://www8.hp.com/h20195/v2/GetDocument.aspx?docname=c08893147</v>
      </c>
    </row>
    <row r="436" spans="1:7" x14ac:dyDescent="0.25">
      <c r="A436" t="s">
        <v>905</v>
      </c>
      <c r="B436" t="s">
        <v>906</v>
      </c>
      <c r="C436" t="s">
        <v>41</v>
      </c>
      <c r="D436" t="s">
        <v>21</v>
      </c>
      <c r="E436" t="str" cm="1">
        <f t="array" ref="E436">_xlfn.LET(
  _xlpm.text, " " &amp; B436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36" t="str">
        <f t="shared" si="6"/>
        <v>https://www8.hp.com/h20195/v2/GetDocument.aspx?docname=c08905304</v>
      </c>
    </row>
    <row r="437" spans="1:7" x14ac:dyDescent="0.25">
      <c r="A437" t="s">
        <v>907</v>
      </c>
      <c r="B437" t="s">
        <v>908</v>
      </c>
      <c r="C437" t="s">
        <v>41</v>
      </c>
      <c r="D437" t="s">
        <v>21</v>
      </c>
      <c r="E437" t="str" cm="1">
        <f t="array" ref="E437">_xlfn.LET(
  _xlpm.text, " " &amp; B437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37" t="str">
        <f t="shared" si="6"/>
        <v>https://www8.hp.com/h20195/v2/GetDocument.aspx?docname=c08479494</v>
      </c>
    </row>
    <row r="438" spans="1:7" x14ac:dyDescent="0.25">
      <c r="A438" t="s">
        <v>909</v>
      </c>
      <c r="B438" t="s">
        <v>910</v>
      </c>
      <c r="C438" t="str" cm="1">
        <f t="array" ref="C438">_xlfn.LET(
  _xlpm.text, B438,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38" t="str" cm="1">
        <f t="array" ref="D438">_xlfn.LET(
  _xlpm.text, B438,
  _xlpm.keywords, Category!$A$1:$A$100,
  _xlpm.matches, _xlfn._xlws.FILTER(_xlpm.keywords, ISNUMBER(SEARCH(_xlpm.keywords, _xlpm.text))),
  IF(COUNTA(_xlpm.matches) &gt; 0, INDEX(_xlpm.matches, 1), "")
)</f>
        <v>Engage</v>
      </c>
      <c r="E438" t="str" cm="1">
        <f t="array" ref="E438">_xlfn.LET(
  _xlpm.text, " " &amp; B438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438" t="str">
        <f t="shared" si="6"/>
        <v>https://www8.hp.com/h20195/v2/GetDocument.aspx?docname=c09135496</v>
      </c>
    </row>
    <row r="439" spans="1:7" x14ac:dyDescent="0.25">
      <c r="A439" t="s">
        <v>911</v>
      </c>
      <c r="B439" t="s">
        <v>912</v>
      </c>
      <c r="C439" t="str" cm="1">
        <f t="array" ref="C439">_xlfn.LET(
  _xlpm.text, B439,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39" t="str" cm="1">
        <f t="array" ref="D439">_xlfn.LET(
  _xlpm.text, B439,
  _xlpm.keywords, Category!$A$1:$A$100,
  _xlpm.matches, _xlfn._xlws.FILTER(_xlpm.keywords, ISNUMBER(SEARCH(_xlpm.keywords, _xlpm.text))),
  IF(COUNTA(_xlpm.matches) &gt; 0, INDEX(_xlpm.matches, 1), "")
)</f>
        <v>EliteBook</v>
      </c>
      <c r="E439" t="str" cm="1">
        <f t="array" ref="E439">_xlfn.LET(
  _xlpm.text, " " &amp; B439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39" t="str">
        <f t="shared" si="6"/>
        <v>https://www8.hp.com/h20195/v2/GetDocument.aspx?docname=c08049276</v>
      </c>
    </row>
    <row r="440" spans="1:7" x14ac:dyDescent="0.25">
      <c r="A440" t="s">
        <v>913</v>
      </c>
      <c r="B440" t="s">
        <v>914</v>
      </c>
      <c r="C440" t="s">
        <v>41</v>
      </c>
      <c r="D440" t="s">
        <v>21</v>
      </c>
      <c r="E440" t="str" cm="1">
        <f t="array" ref="E440">_xlfn.LET(
  _xlpm.text, " " &amp; B440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40" t="str">
        <f t="shared" si="6"/>
        <v>https://www8.hp.com/h20195/v2/GetDocument.aspx?docname=c08017463</v>
      </c>
    </row>
    <row r="441" spans="1:7" x14ac:dyDescent="0.25">
      <c r="A441" t="s">
        <v>915</v>
      </c>
      <c r="B441" t="s">
        <v>916</v>
      </c>
      <c r="C441" t="str" cm="1">
        <f t="array" ref="C441">_xlfn.LET(
  _xlpm.text, B441,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41" t="str" cm="1">
        <f t="array" ref="D441">_xlfn.LET(
  _xlpm.text, B441,
  _xlpm.keywords, Category!$A$1:$A$100,
  _xlpm.matches, _xlfn._xlws.FILTER(_xlpm.keywords, ISNUMBER(SEARCH(_xlpm.keywords, _xlpm.text))),
  IF(COUNTA(_xlpm.matches) &gt; 0, INDEX(_xlpm.matches, 1), "")
)</f>
        <v>EliteBook</v>
      </c>
      <c r="E441" t="str" cm="1">
        <f t="array" ref="E441">_xlfn.LET(
  _xlpm.text, " " &amp; B441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41" t="str">
        <f t="shared" si="6"/>
        <v>https://www8.hp.com/h20195/v2/GetDocument.aspx?docname=c08007866</v>
      </c>
    </row>
    <row r="442" spans="1:7" x14ac:dyDescent="0.25">
      <c r="A442" t="s">
        <v>917</v>
      </c>
      <c r="B442" t="s">
        <v>918</v>
      </c>
      <c r="C442" t="s">
        <v>41</v>
      </c>
      <c r="D442" t="s">
        <v>21</v>
      </c>
      <c r="E442" t="str" cm="1">
        <f t="array" ref="E442">_xlfn.LET(
  _xlpm.text, " " &amp; B442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42" t="str">
        <f t="shared" si="6"/>
        <v>https://www8.hp.com/h20195/v2/GetDocument.aspx?docname=c08017464</v>
      </c>
    </row>
    <row r="443" spans="1:7" x14ac:dyDescent="0.25">
      <c r="A443" t="s">
        <v>919</v>
      </c>
      <c r="B443" t="s">
        <v>920</v>
      </c>
      <c r="C443" t="str" cm="1">
        <f t="array" ref="C443">_xlfn.LET(
  _xlpm.text, B443,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43" t="str" cm="1">
        <f t="array" ref="D443">_xlfn.LET(
  _xlpm.text, B443,
  _xlpm.keywords, Category!$A$1:$A$100,
  _xlpm.matches, _xlfn._xlws.FILTER(_xlpm.keywords, ISNUMBER(SEARCH(_xlpm.keywords, _xlpm.text))),
  IF(COUNTA(_xlpm.matches) &gt; 0, INDEX(_xlpm.matches, 1), "")
)</f>
        <v>ChromeBook</v>
      </c>
      <c r="E443" t="str" cm="1">
        <f t="array" ref="E443">_xlfn.LET(
  _xlpm.text, " " &amp; B443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43" t="str">
        <f t="shared" si="6"/>
        <v>https://www8.hp.com/h20195/v2/GetDocument.aspx?docname=c06978059</v>
      </c>
    </row>
    <row r="444" spans="1:7" x14ac:dyDescent="0.25">
      <c r="A444" t="s">
        <v>921</v>
      </c>
      <c r="B444" t="s">
        <v>922</v>
      </c>
      <c r="C444" t="str" cm="1">
        <f t="array" ref="C444">_xlfn.LET(
  _xlpm.text, B444,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44" t="str" cm="1">
        <f t="array" ref="D444">_xlfn.LET(
  _xlpm.text, B444,
  _xlpm.keywords, Category!$A$1:$A$100,
  _xlpm.matches, _xlfn._xlws.FILTER(_xlpm.keywords, ISNUMBER(SEARCH(_xlpm.keywords, _xlpm.text))),
  IF(COUNTA(_xlpm.matches) &gt; 0, INDEX(_xlpm.matches, 1), "")
)</f>
        <v>ChromeBook</v>
      </c>
      <c r="E444" t="str" cm="1">
        <f t="array" ref="E444">_xlfn.LET(
  _xlpm.text, " " &amp; B444 &amp; " ",
  _xlpm.keywords, GenList!$A$1:$A$100,
  _xlpm.paddedKeywords, " " &amp; _xlpm.keywords &amp; " ",
  _xlpm.matches, _xlfn._xlws.FILTER(_xlpm.keywords, ISNUMBER(SEARCH(_xlpm.paddedKeywords, _xlpm.text))),
  IFERROR(INDEX(_xlpm.matches, 1), "")
)</f>
        <v>G7</v>
      </c>
      <c r="G444" t="str">
        <f t="shared" si="6"/>
        <v>https://www8.hp.com/h20195/v2/GetDocument.aspx?docname=c06978061</v>
      </c>
    </row>
    <row r="445" spans="1:7" x14ac:dyDescent="0.25">
      <c r="A445" t="s">
        <v>923</v>
      </c>
      <c r="B445" t="s">
        <v>924</v>
      </c>
      <c r="C445" t="str" cm="1">
        <f t="array" ref="C445">_xlfn.LET(
  _xlpm.text, B445,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445" t="str" cm="1">
        <f t="array" ref="D445">_xlfn.LET(
  _xlpm.text, B445,
  _xlpm.keywords, Category!$A$1:$A$100,
  _xlpm.matches, _xlfn._xlws.FILTER(_xlpm.keywords, ISNUMBER(SEARCH(_xlpm.keywords, _xlpm.text))),
  IF(COUNTA(_xlpm.matches) &gt; 0, INDEX(_xlpm.matches, 1), "")
)</f>
        <v>ZBook</v>
      </c>
      <c r="E445" t="str" cm="1">
        <f t="array" ref="E445">_xlfn.LET(
  _xlpm.text, " " &amp; B445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45" t="str">
        <f t="shared" si="6"/>
        <v>https://www8.hp.com/h20195/v2/GetDocument.aspx?docname=c08552777</v>
      </c>
    </row>
    <row r="446" spans="1:7" x14ac:dyDescent="0.25">
      <c r="A446" t="s">
        <v>925</v>
      </c>
      <c r="B446" t="s">
        <v>926</v>
      </c>
      <c r="C446" t="str" cm="1">
        <f t="array" ref="C446">_xlfn.LET(
  _xlpm.text, B446,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46" t="str" cm="1">
        <f t="array" ref="D446">_xlfn.LET(
  _xlpm.text, B446,
  _xlpm.keywords, Category!$A$1:$A$100,
  _xlpm.matches, _xlfn._xlws.FILTER(_xlpm.keywords, ISNUMBER(SEARCH(_xlpm.keywords, _xlpm.text))),
  IF(COUNTA(_xlpm.matches) &gt; 0, INDEX(_xlpm.matches, 1), "")
)</f>
        <v>EliteBook</v>
      </c>
      <c r="E446" t="str" cm="1">
        <f t="array" ref="E446">_xlfn.LET(
  _xlpm.text, " " &amp; B446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446" t="str">
        <f t="shared" si="6"/>
        <v>https://www8.hp.com/h20195/v2/GetDocument.aspx?docname=c08438688</v>
      </c>
    </row>
    <row r="447" spans="1:7" x14ac:dyDescent="0.25">
      <c r="A447" t="s">
        <v>927</v>
      </c>
      <c r="B447" t="s">
        <v>928</v>
      </c>
      <c r="C447" t="s">
        <v>156</v>
      </c>
      <c r="D447" t="s">
        <v>95</v>
      </c>
      <c r="E447" t="str" cm="1">
        <f t="array" ref="E447">_xlfn.LET(
  _xlpm.text, " " &amp; B447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47" t="str">
        <f t="shared" si="6"/>
        <v>https://www8.hp.com/h20195/v2/GetDocument.aspx?docname=c04126958</v>
      </c>
    </row>
    <row r="448" spans="1:7" x14ac:dyDescent="0.25">
      <c r="A448" t="s">
        <v>929</v>
      </c>
      <c r="B448" t="s">
        <v>930</v>
      </c>
      <c r="C448" t="str" cm="1">
        <f t="array" ref="C448">_xlfn.LET(
  _xlpm.text, B448,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48" t="str" cm="1">
        <f t="array" ref="D448">_xlfn.LET(
  _xlpm.text, B448,
  _xlpm.keywords, Category!$A$1:$A$100,
  _xlpm.matches, _xlfn._xlws.FILTER(_xlpm.keywords, ISNUMBER(SEARCH(_xlpm.keywords, _xlpm.text))),
  IF(COUNTA(_xlpm.matches) &gt; 0, INDEX(_xlpm.matches, 1), "")
)</f>
        <v>EliteBook</v>
      </c>
      <c r="E448" t="str" cm="1">
        <f t="array" ref="E448">_xlfn.LET(
  _xlpm.text, " " &amp; B448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F448" t="s">
        <v>9</v>
      </c>
      <c r="G448" t="str">
        <f t="shared" si="6"/>
        <v>https://www8.hp.com/h20195/v2/GetDocument.aspx?docname=c06969250</v>
      </c>
    </row>
    <row r="449" spans="1:7" x14ac:dyDescent="0.25">
      <c r="A449" t="s">
        <v>931</v>
      </c>
      <c r="B449" t="s">
        <v>932</v>
      </c>
      <c r="C449" t="str" cm="1">
        <f t="array" ref="C449">_xlfn.LET(
  _xlpm.text, B449,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49" t="str" cm="1">
        <f t="array" ref="D449">_xlfn.LET(
  _xlpm.text, B449,
  _xlpm.keywords, Category!$A$1:$A$100,
  _xlpm.matches, _xlfn._xlws.FILTER(_xlpm.keywords, ISNUMBER(SEARCH(_xlpm.keywords, _xlpm.text))),
  IF(COUNTA(_xlpm.matches) &gt; 0, INDEX(_xlpm.matches, 1), "")
)</f>
        <v>Printer</v>
      </c>
      <c r="E449" t="str" cm="1">
        <f t="array" ref="E449">_xlfn.LET(
  _xlpm.text, " " &amp; B449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49" t="str">
        <f t="shared" ref="G449:G512" si="7">_xlfn.CONCAT("https://www8.hp.com/h20195/v2/GetDocument.aspx?docname=",A449)</f>
        <v>https://www8.hp.com/h20195/v2/GetDocument.aspx?docname=c08854784</v>
      </c>
    </row>
    <row r="450" spans="1:7" x14ac:dyDescent="0.25">
      <c r="A450" t="s">
        <v>933</v>
      </c>
      <c r="B450" t="s">
        <v>934</v>
      </c>
      <c r="C450" t="str" cm="1">
        <f t="array" ref="C450">_xlfn.LET(
  _xlpm.text, B450,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50" t="str" cm="1">
        <f t="array" ref="D450">_xlfn.LET(
  _xlpm.text, B450,
  _xlpm.keywords, Category!$A$1:$A$100,
  _xlpm.matches, _xlfn._xlws.FILTER(_xlpm.keywords, ISNUMBER(SEARCH(_xlpm.keywords, _xlpm.text))),
  IF(COUNTA(_xlpm.matches) &gt; 0, INDEX(_xlpm.matches, 1), "")
)</f>
        <v>EliteBook</v>
      </c>
      <c r="E450" t="str" cm="1">
        <f t="array" ref="E450">_xlfn.LET(
  _xlpm.text, " " &amp; B450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50" t="str">
        <f t="shared" si="7"/>
        <v>https://www8.hp.com/h20195/v2/GetDocument.aspx?docname=c08007864</v>
      </c>
    </row>
    <row r="451" spans="1:7" x14ac:dyDescent="0.25">
      <c r="A451" t="s">
        <v>935</v>
      </c>
      <c r="B451" t="s">
        <v>936</v>
      </c>
      <c r="C451" t="str" cm="1">
        <f t="array" ref="C451">_xlfn.LET(
  _xlpm.text, B451,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51" t="str" cm="1">
        <f t="array" ref="D451">_xlfn.LET(
  _xlpm.text, B451,
  _xlpm.keywords, Category!$A$1:$A$100,
  _xlpm.matches, _xlfn._xlws.FILTER(_xlpm.keywords, ISNUMBER(SEARCH(_xlpm.keywords, _xlpm.text))),
  IF(COUNTA(_xlpm.matches) &gt; 0, INDEX(_xlpm.matches, 1), "")
)</f>
        <v>Engage</v>
      </c>
      <c r="E451" t="str" cm="1">
        <f t="array" ref="E451">_xlfn.LET(
  _xlpm.text, " " &amp; B451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51" t="str">
        <f t="shared" si="7"/>
        <v>https://www8.hp.com/h20195/v2/GetDocument.aspx?docname=c05573243</v>
      </c>
    </row>
    <row r="452" spans="1:7" x14ac:dyDescent="0.25">
      <c r="A452" t="s">
        <v>937</v>
      </c>
      <c r="B452" t="s">
        <v>432</v>
      </c>
      <c r="C452" t="str" cm="1">
        <f t="array" ref="C452">_xlfn.LET(
  _xlpm.text, B452,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52" t="s">
        <v>28</v>
      </c>
      <c r="E452" t="str" cm="1">
        <f t="array" ref="E452">_xlfn.LET(
  _xlpm.text, " " &amp; B452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52" t="str">
        <f t="shared" si="7"/>
        <v>https://www8.hp.com/h20195/v2/GetDocument.aspx?docname=c05814610</v>
      </c>
    </row>
    <row r="453" spans="1:7" x14ac:dyDescent="0.25">
      <c r="A453" t="s">
        <v>938</v>
      </c>
      <c r="B453" t="s">
        <v>939</v>
      </c>
      <c r="C453" t="str" cm="1">
        <f t="array" ref="C453">_xlfn.LET(
  _xlpm.text, B453,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53" t="str" cm="1">
        <f t="array" ref="D453">_xlfn.LET(
  _xlpm.text, B453,
  _xlpm.keywords, Category!$A$1:$A$100,
  _xlpm.matches, _xlfn._xlws.FILTER(_xlpm.keywords, ISNUMBER(SEARCH(_xlpm.keywords, _xlpm.text))),
  IF(COUNTA(_xlpm.matches) &gt; 0, INDEX(_xlpm.matches, 1), "")
)</f>
        <v>EliteOne</v>
      </c>
      <c r="E453" t="str" cm="1">
        <f t="array" ref="E453">_xlfn.LET(
  _xlpm.text, " " &amp; B453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53" t="str">
        <f t="shared" si="7"/>
        <v>https://www8.hp.com/h20195/v2/GetDocument.aspx?docname=c05389395</v>
      </c>
    </row>
    <row r="454" spans="1:7" x14ac:dyDescent="0.25">
      <c r="A454" t="s">
        <v>940</v>
      </c>
      <c r="B454" t="s">
        <v>941</v>
      </c>
      <c r="C454" t="s">
        <v>59</v>
      </c>
      <c r="D454" t="s">
        <v>47</v>
      </c>
      <c r="E454" t="str" cm="1">
        <f t="array" ref="E454">_xlfn.LET(
  _xlpm.text, " " &amp; B454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54" t="str">
        <f t="shared" si="7"/>
        <v>https://www8.hp.com/h20195/v2/GetDocument.aspx?docname=c06469336</v>
      </c>
    </row>
    <row r="455" spans="1:7" x14ac:dyDescent="0.25">
      <c r="A455" t="s">
        <v>942</v>
      </c>
      <c r="B455" t="s">
        <v>943</v>
      </c>
      <c r="C455" t="str" cm="1">
        <f t="array" ref="C455">_xlfn.LET(
  _xlpm.text, B455,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455" t="s">
        <v>1159</v>
      </c>
      <c r="E455" t="str" cm="1">
        <f t="array" ref="E455">_xlfn.LET(
  _xlpm.text, " " &amp; B455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55" t="str">
        <f t="shared" si="7"/>
        <v>https://www8.hp.com/h20195/v2/GetDocument.aspx?docname=c06914243</v>
      </c>
    </row>
    <row r="456" spans="1:7" x14ac:dyDescent="0.25">
      <c r="A456" t="s">
        <v>944</v>
      </c>
      <c r="B456" t="s">
        <v>945</v>
      </c>
      <c r="C456" t="s">
        <v>59</v>
      </c>
      <c r="D456" t="s">
        <v>47</v>
      </c>
      <c r="E456" t="str" cm="1">
        <f t="array" ref="E456">_xlfn.LET(
  _xlpm.text, " " &amp; B456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56" t="str">
        <f t="shared" si="7"/>
        <v>https://www8.hp.com/h20195/v2/GetDocument.aspx?docname=c08747078</v>
      </c>
    </row>
    <row r="457" spans="1:7" x14ac:dyDescent="0.25">
      <c r="A457" t="s">
        <v>946</v>
      </c>
      <c r="B457" t="s">
        <v>947</v>
      </c>
      <c r="C457" t="s">
        <v>20</v>
      </c>
      <c r="D457" t="s">
        <v>47</v>
      </c>
      <c r="E457" t="str" cm="1">
        <f t="array" ref="E457">_xlfn.LET(
  _xlpm.text, " " &amp; B457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57" t="str">
        <f t="shared" si="7"/>
        <v>https://www8.hp.com/h20195/v2/GetDocument.aspx?docname=c05389400</v>
      </c>
    </row>
    <row r="458" spans="1:7" x14ac:dyDescent="0.25">
      <c r="A458" t="s">
        <v>948</v>
      </c>
      <c r="B458" t="s">
        <v>949</v>
      </c>
      <c r="C458" t="str" cm="1">
        <f t="array" ref="C458">_xlfn.LET(
  _xlpm.text, B458,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58" t="s">
        <v>85</v>
      </c>
      <c r="E458" t="str" cm="1">
        <f t="array" ref="E458">_xlfn.LET(
  _xlpm.text, " " &amp; B458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58" t="str">
        <f t="shared" si="7"/>
        <v>https://www8.hp.com/h20195/v2/GetDocument.aspx?docname=c08423213</v>
      </c>
    </row>
    <row r="459" spans="1:7" x14ac:dyDescent="0.25">
      <c r="A459" t="s">
        <v>950</v>
      </c>
      <c r="B459" t="s">
        <v>951</v>
      </c>
      <c r="C459" t="str" cm="1">
        <f t="array" ref="C459">_xlfn.LET(
  _xlpm.text, B459,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59" t="s">
        <v>85</v>
      </c>
      <c r="E459" t="str" cm="1">
        <f t="array" ref="E459">_xlfn.LET(
  _xlpm.text, " " &amp; B459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59" t="str">
        <f t="shared" si="7"/>
        <v>https://www8.hp.com/h20195/v2/GetDocument.aspx?docname=c08392792</v>
      </c>
    </row>
    <row r="460" spans="1:7" x14ac:dyDescent="0.25">
      <c r="A460" t="s">
        <v>952</v>
      </c>
      <c r="B460" t="s">
        <v>953</v>
      </c>
      <c r="C460" t="str" cm="1">
        <f t="array" ref="C460">_xlfn.LET(
  _xlpm.text, B460,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60" t="str" cm="1">
        <f t="array" ref="D460">_xlfn.LET(
  _xlpm.text, B460,
  _xlpm.keywords, Category!$A$1:$A$100,
  _xlpm.matches, _xlfn._xlws.FILTER(_xlpm.keywords, ISNUMBER(SEARCH(_xlpm.keywords, _xlpm.text))),
  IF(COUNTA(_xlpm.matches) &gt; 0, INDEX(_xlpm.matches, 1), "")
)</f>
        <v>ChromeBook</v>
      </c>
      <c r="E460" t="str" cm="1">
        <f t="array" ref="E460">_xlfn.LET(
  _xlpm.text, " " &amp; B460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60" t="str">
        <f t="shared" si="7"/>
        <v>https://www8.hp.com/h20195/v2/GetDocument.aspx?docname=c06978060</v>
      </c>
    </row>
    <row r="461" spans="1:7" x14ac:dyDescent="0.25">
      <c r="A461" t="s">
        <v>954</v>
      </c>
      <c r="B461" t="s">
        <v>955</v>
      </c>
      <c r="C461" t="str" cm="1">
        <f t="array" ref="C461">_xlfn.LET(
  _xlpm.text, B461,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61" t="s">
        <v>145</v>
      </c>
      <c r="E461" t="str" cm="1">
        <f t="array" ref="E461">_xlfn.LET(
  _xlpm.text, " " &amp; B461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1" t="str">
        <f t="shared" si="7"/>
        <v>https://www8.hp.com/h20195/v2/GetDocument.aspx?docname=c07316508</v>
      </c>
    </row>
    <row r="462" spans="1:7" x14ac:dyDescent="0.25">
      <c r="A462" t="s">
        <v>956</v>
      </c>
      <c r="B462" t="s">
        <v>957</v>
      </c>
      <c r="C462" t="str" cm="1">
        <f t="array" ref="C462">_xlfn.LET(
  _xlpm.text, B462,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62" t="str" cm="1">
        <f t="array" ref="D462">_xlfn.LET(
  _xlpm.text, B462,
  _xlpm.keywords, Category!$A$1:$A$100,
  _xlpm.matches, _xlfn._xlws.FILTER(_xlpm.keywords, ISNUMBER(SEARCH(_xlpm.keywords, _xlpm.text))),
  IF(COUNTA(_xlpm.matches) &gt; 0, INDEX(_xlpm.matches, 1), "")
)</f>
        <v>Printer</v>
      </c>
      <c r="E462" t="str" cm="1">
        <f t="array" ref="E462">_xlfn.LET(
  _xlpm.text, " " &amp; B462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2" t="str">
        <f t="shared" si="7"/>
        <v>https://www8.hp.com/h20195/v2/GetDocument.aspx?docname=c06431211</v>
      </c>
    </row>
    <row r="463" spans="1:7" x14ac:dyDescent="0.25">
      <c r="A463" t="s">
        <v>958</v>
      </c>
      <c r="B463" t="s">
        <v>959</v>
      </c>
      <c r="C463" t="s">
        <v>156</v>
      </c>
      <c r="D463" t="s">
        <v>608</v>
      </c>
      <c r="E463" t="str" cm="1">
        <f t="array" ref="E463">_xlfn.LET(
  _xlpm.text, " " &amp; B463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3" t="str">
        <f t="shared" si="7"/>
        <v>https://www8.hp.com/h20195/v2/GetDocument.aspx?docname=c06457091</v>
      </c>
    </row>
    <row r="464" spans="1:7" x14ac:dyDescent="0.25">
      <c r="A464" t="s">
        <v>960</v>
      </c>
      <c r="B464" t="s">
        <v>961</v>
      </c>
      <c r="C464" t="str" cm="1">
        <f t="array" ref="C464">_xlfn.LET(
  _xlpm.text, B464,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64" t="str" cm="1">
        <f t="array" ref="D464">_xlfn.LET(
  _xlpm.text, B464,
  _xlpm.keywords, Category!$A$1:$A$100,
  _xlpm.matches, _xlfn._xlws.FILTER(_xlpm.keywords, ISNUMBER(SEARCH(_xlpm.keywords, _xlpm.text))),
  IF(COUNTA(_xlpm.matches) &gt; 0, INDEX(_xlpm.matches, 1), "")
)</f>
        <v>Series 7</v>
      </c>
      <c r="E464" t="str" cm="1">
        <f t="array" ref="E464">_xlfn.LET(
  _xlpm.text, " " &amp; B464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4" t="str">
        <f t="shared" si="7"/>
        <v>https://www8.hp.com/h20195/v2/GetDocument.aspx?docname=c08876529</v>
      </c>
    </row>
    <row r="465" spans="1:7" x14ac:dyDescent="0.25">
      <c r="A465" t="s">
        <v>962</v>
      </c>
      <c r="B465" t="s">
        <v>963</v>
      </c>
      <c r="C465" t="str" cm="1">
        <f t="array" ref="C465">_xlfn.LET(
  _xlpm.text, B465,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65" t="str" cm="1">
        <f t="array" ref="D465">_xlfn.LET(
  _xlpm.text, B465,
  _xlpm.keywords, Category!$A$1:$A$100,
  _xlpm.matches, _xlfn._xlws.FILTER(_xlpm.keywords, ISNUMBER(SEARCH(_xlpm.keywords, _xlpm.text))),
  IF(COUNTA(_xlpm.matches) &gt; 0, INDEX(_xlpm.matches, 1), "")
)</f>
        <v>Series 7</v>
      </c>
      <c r="E465" t="str" cm="1">
        <f t="array" ref="E465">_xlfn.LET(
  _xlpm.text, " " &amp; B465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5" t="str">
        <f t="shared" si="7"/>
        <v>https://www8.hp.com/h20195/v2/GetDocument.aspx?docname=c08854782</v>
      </c>
    </row>
    <row r="466" spans="1:7" x14ac:dyDescent="0.25">
      <c r="A466" t="s">
        <v>964</v>
      </c>
      <c r="B466" t="s">
        <v>965</v>
      </c>
      <c r="C466" t="s">
        <v>20</v>
      </c>
      <c r="D466" t="s">
        <v>47</v>
      </c>
      <c r="E466" t="str" cm="1">
        <f t="array" ref="E466">_xlfn.LET(
  _xlpm.text, " " &amp; B466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66" t="str">
        <f t="shared" si="7"/>
        <v>https://www8.hp.com/h20195/v2/GetDocument.aspx?docname=c08893320</v>
      </c>
    </row>
    <row r="467" spans="1:7" x14ac:dyDescent="0.25">
      <c r="A467" t="s">
        <v>966</v>
      </c>
      <c r="B467" t="s">
        <v>967</v>
      </c>
      <c r="C467" t="str" cm="1">
        <f t="array" ref="C467">_xlfn.LET(
  _xlpm.text, B467,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67" t="s">
        <v>75</v>
      </c>
      <c r="E467" t="str" cm="1">
        <f t="array" ref="E467">_xlfn.LET(
  _xlpm.text, " " &amp; B467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G467" t="str">
        <f t="shared" si="7"/>
        <v>https://www8.hp.com/h20195/v2/GetDocument.aspx?docname=c08310349</v>
      </c>
    </row>
    <row r="468" spans="1:7" x14ac:dyDescent="0.25">
      <c r="A468" t="s">
        <v>968</v>
      </c>
      <c r="B468" t="s">
        <v>969</v>
      </c>
      <c r="C468" t="s">
        <v>20</v>
      </c>
      <c r="D468" t="s">
        <v>21</v>
      </c>
      <c r="E468" t="str" cm="1">
        <f t="array" ref="E468">_xlfn.LET(
  _xlpm.text, " " &amp; B468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68" t="str">
        <f t="shared" si="7"/>
        <v>https://www8.hp.com/h20195/v2/GetDocument.aspx?docname=c06543416</v>
      </c>
    </row>
    <row r="469" spans="1:7" x14ac:dyDescent="0.25">
      <c r="A469" t="s">
        <v>970</v>
      </c>
      <c r="B469" t="s">
        <v>971</v>
      </c>
      <c r="C469" t="str" cm="1">
        <f t="array" ref="C469">_xlfn.LET(
  _xlpm.text, B469,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69" t="str" cm="1">
        <f t="array" ref="D469">_xlfn.LET(
  _xlpm.text, B469,
  _xlpm.keywords, Category!$A$1:$A$100,
  _xlpm.matches, _xlfn._xlws.FILTER(_xlpm.keywords, ISNUMBER(SEARCH(_xlpm.keywords, _xlpm.text))),
  IF(COUNTA(_xlpm.matches) &gt; 0, INDEX(_xlpm.matches, 1), "")
)</f>
        <v>EliteDesk</v>
      </c>
      <c r="E469" t="str" cm="1">
        <f t="array" ref="E469">_xlfn.LET(
  _xlpm.text, " " &amp; B469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469" t="str">
        <f t="shared" si="7"/>
        <v>https://www8.hp.com/h20195/v2/GetDocument.aspx?docname=c07029155</v>
      </c>
    </row>
    <row r="470" spans="1:7" x14ac:dyDescent="0.25">
      <c r="A470" t="s">
        <v>972</v>
      </c>
      <c r="B470" t="s">
        <v>973</v>
      </c>
      <c r="C470" t="str" cm="1">
        <f t="array" ref="C470">_xlfn.LET(
  _xlpm.text, B470,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470" t="s">
        <v>1159</v>
      </c>
      <c r="E470" t="str" cm="1">
        <f t="array" ref="E470">_xlfn.LET(
  _xlpm.text, " " &amp; B470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470" t="str">
        <f t="shared" si="7"/>
        <v>https://www8.hp.com/h20195/v2/GetDocument.aspx?docname=c07065967</v>
      </c>
    </row>
    <row r="471" spans="1:7" x14ac:dyDescent="0.25">
      <c r="A471" t="s">
        <v>974</v>
      </c>
      <c r="B471" t="s">
        <v>975</v>
      </c>
      <c r="C471" t="str" cm="1">
        <f t="array" ref="C471">_xlfn.LET(
  _xlpm.text, B471,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71" t="s">
        <v>75</v>
      </c>
      <c r="E471" t="str" cm="1">
        <f t="array" ref="E471">_xlfn.LET(
  _xlpm.text, " " &amp; B471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471" t="s">
        <v>9</v>
      </c>
      <c r="G471" t="str">
        <f t="shared" si="7"/>
        <v>https://www8.hp.com/h20195/v2/GetDocument.aspx?docname=c06461733</v>
      </c>
    </row>
    <row r="472" spans="1:7" x14ac:dyDescent="0.25">
      <c r="A472" t="s">
        <v>976</v>
      </c>
      <c r="B472" t="s">
        <v>977</v>
      </c>
      <c r="C472" t="str" cm="1">
        <f t="array" ref="C472">_xlfn.LET(
  _xlpm.text, B472,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72" t="s">
        <v>85</v>
      </c>
      <c r="E472" t="str" cm="1">
        <f t="array" ref="E472">_xlfn.LET(
  _xlpm.text, " " &amp; B472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72" t="str">
        <f t="shared" si="7"/>
        <v>https://www8.hp.com/h20195/v2/GetDocument.aspx?docname=c06956483</v>
      </c>
    </row>
    <row r="473" spans="1:7" x14ac:dyDescent="0.25">
      <c r="A473" t="s">
        <v>978</v>
      </c>
      <c r="B473" t="s">
        <v>979</v>
      </c>
      <c r="C473" t="s">
        <v>59</v>
      </c>
      <c r="D473" t="s">
        <v>70</v>
      </c>
      <c r="G473" t="str">
        <f t="shared" si="7"/>
        <v>https://www8.hp.com/h20195/v2/GetDocument.aspx?docname=c06630565</v>
      </c>
    </row>
    <row r="474" spans="1:7" x14ac:dyDescent="0.25">
      <c r="A474" t="s">
        <v>980</v>
      </c>
      <c r="B474" t="s">
        <v>981</v>
      </c>
      <c r="C474" t="s">
        <v>59</v>
      </c>
      <c r="D474" t="s">
        <v>1159</v>
      </c>
      <c r="E474" t="str" cm="1">
        <f t="array" ref="E474">_xlfn.LET(
  _xlpm.text, " " &amp; B474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474" t="str">
        <f t="shared" si="7"/>
        <v>https://www8.hp.com/h20195/v2/GetDocument.aspx?docname=c07057403</v>
      </c>
    </row>
    <row r="475" spans="1:7" x14ac:dyDescent="0.25">
      <c r="A475" t="s">
        <v>982</v>
      </c>
      <c r="B475" t="s">
        <v>983</v>
      </c>
      <c r="C475" t="str" cm="1">
        <f t="array" ref="C475">_xlfn.LET(
  _xlpm.text, B475,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Workstations</v>
      </c>
      <c r="D475" t="s">
        <v>1159</v>
      </c>
      <c r="E475" t="str" cm="1">
        <f t="array" ref="E475">_xlfn.LET(
  _xlpm.text, " " &amp; B475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G475" t="str">
        <f t="shared" si="7"/>
        <v>https://www8.hp.com/h20195/v2/GetDocument.aspx?docname=c07065867</v>
      </c>
    </row>
    <row r="476" spans="1:7" x14ac:dyDescent="0.25">
      <c r="A476" t="s">
        <v>984</v>
      </c>
      <c r="B476" t="s">
        <v>985</v>
      </c>
      <c r="C476" t="s">
        <v>20</v>
      </c>
      <c r="D476" t="s">
        <v>21</v>
      </c>
      <c r="E476" t="str" cm="1">
        <f t="array" ref="E476">_xlfn.LET(
  _xlpm.text, " " &amp; B476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76" t="str">
        <f t="shared" si="7"/>
        <v>https://www8.hp.com/h20195/v2/GetDocument.aspx?docname=c06674861</v>
      </c>
    </row>
    <row r="477" spans="1:7" x14ac:dyDescent="0.25">
      <c r="A477" t="s">
        <v>986</v>
      </c>
      <c r="B477" t="s">
        <v>987</v>
      </c>
      <c r="C477" t="str" cm="1">
        <f t="array" ref="C477">_xlfn.LET(
  _xlpm.text, B477,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77" t="s">
        <v>28</v>
      </c>
      <c r="E477" t="str" cm="1">
        <f t="array" ref="E477">_xlfn.LET(
  _xlpm.text, " " &amp; B477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77" t="str">
        <f t="shared" si="7"/>
        <v>https://www8.hp.com/h20195/v2/GetDocument.aspx?docname=c06951158</v>
      </c>
    </row>
    <row r="478" spans="1:7" x14ac:dyDescent="0.25">
      <c r="A478" t="s">
        <v>988</v>
      </c>
      <c r="B478" t="s">
        <v>989</v>
      </c>
      <c r="C478" t="s">
        <v>108</v>
      </c>
      <c r="D478" t="s">
        <v>28</v>
      </c>
      <c r="E478" t="str" cm="1">
        <f t="array" ref="E478">_xlfn.LET(
  _xlpm.text, " " &amp; B478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78" t="str">
        <f t="shared" si="7"/>
        <v>https://www8.hp.com/h20195/v2/GetDocument.aspx?docname=c07870878</v>
      </c>
    </row>
    <row r="479" spans="1:7" x14ac:dyDescent="0.25">
      <c r="A479" t="s">
        <v>990</v>
      </c>
      <c r="B479" t="s">
        <v>991</v>
      </c>
      <c r="C479" t="str" cm="1">
        <f t="array" ref="C479">_xlfn.LET(
  _xlpm.text, B479,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79" t="s">
        <v>85</v>
      </c>
      <c r="E479" t="str" cm="1">
        <f t="array" ref="E479">_xlfn.LET(
  _xlpm.text, " " &amp; B479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79" t="str">
        <f t="shared" si="7"/>
        <v>https://www8.hp.com/h20195/v2/GetDocument.aspx?docname=c06922715</v>
      </c>
    </row>
    <row r="480" spans="1:7" x14ac:dyDescent="0.25">
      <c r="A480" t="s">
        <v>992</v>
      </c>
      <c r="B480" t="s">
        <v>993</v>
      </c>
      <c r="C480" t="str" cm="1">
        <f t="array" ref="C480">_xlfn.LET(
  _xlpm.text, B480,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80" t="s">
        <v>28</v>
      </c>
      <c r="E480" t="str" cm="1">
        <f t="array" ref="E480">_xlfn.LET(
  _xlpm.text, " " &amp; B480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80" t="str">
        <f t="shared" si="7"/>
        <v>https://www8.hp.com/h20195/v2/GetDocument.aspx?docname=c06951537</v>
      </c>
    </row>
    <row r="481" spans="1:7" x14ac:dyDescent="0.25">
      <c r="A481" t="s">
        <v>994</v>
      </c>
      <c r="B481" t="s">
        <v>995</v>
      </c>
      <c r="C481" t="str" cm="1">
        <f t="array" ref="C481">_xlfn.LET(
  _xlpm.text, B481,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81" t="s">
        <v>28</v>
      </c>
      <c r="E481" t="str" cm="1">
        <f t="array" ref="E481">_xlfn.LET(
  _xlpm.text, " " &amp; B481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81" t="str">
        <f t="shared" si="7"/>
        <v>https://www8.hp.com/h20195/v2/GetDocument.aspx?docname=c06973544</v>
      </c>
    </row>
    <row r="482" spans="1:7" x14ac:dyDescent="0.25">
      <c r="A482" t="s">
        <v>996</v>
      </c>
      <c r="B482" t="s">
        <v>997</v>
      </c>
      <c r="C482" t="str" cm="1">
        <f t="array" ref="C482">_xlfn.LET(
  _xlpm.text, B482,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82" t="s">
        <v>145</v>
      </c>
      <c r="E482" t="str" cm="1">
        <f t="array" ref="E482">_xlfn.LET(
  _xlpm.text, " " &amp; B482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82" t="str">
        <f t="shared" si="7"/>
        <v>https://www8.hp.com/h20195/v2/GetDocument.aspx?docname=c07318697</v>
      </c>
    </row>
    <row r="483" spans="1:7" x14ac:dyDescent="0.25">
      <c r="A483" t="s">
        <v>998</v>
      </c>
      <c r="B483" t="s">
        <v>999</v>
      </c>
      <c r="C483" t="str" cm="1">
        <f t="array" ref="C483">_xlfn.LET(
  _xlpm.text, B483,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483" t="s">
        <v>28</v>
      </c>
      <c r="E483" t="str" cm="1">
        <f t="array" ref="E483">_xlfn.LET(
  _xlpm.text, " " &amp; B483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83" t="str">
        <f t="shared" si="7"/>
        <v>https://www8.hp.com/h20195/v2/GetDocument.aspx?docname=c07660323</v>
      </c>
    </row>
    <row r="484" spans="1:7" x14ac:dyDescent="0.25">
      <c r="A484" t="s">
        <v>1000</v>
      </c>
      <c r="B484" t="s">
        <v>1001</v>
      </c>
      <c r="C484" t="s">
        <v>41</v>
      </c>
      <c r="D484" t="s">
        <v>47</v>
      </c>
      <c r="E484" t="str" cm="1">
        <f t="array" ref="E484">_xlfn.LET(
  _xlpm.text, " " &amp; B484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84" t="str">
        <f t="shared" si="7"/>
        <v>https://www8.hp.com/h20195/v2/GetDocument.aspx?docname=c04168399</v>
      </c>
    </row>
    <row r="485" spans="1:7" x14ac:dyDescent="0.25">
      <c r="A485" t="s">
        <v>1002</v>
      </c>
      <c r="B485" t="s">
        <v>1003</v>
      </c>
      <c r="C485" t="str" cm="1">
        <f t="array" ref="C485">_xlfn.LET(
  _xlpm.text, B485,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85" t="str" cm="1">
        <f t="array" ref="D485">_xlfn.LET(
  _xlpm.text, B485,
  _xlpm.keywords, Category!$A$1:$A$100,
  _xlpm.matches, _xlfn._xlws.FILTER(_xlpm.keywords, ISNUMBER(SEARCH(_xlpm.keywords, _xlpm.text))),
  IF(COUNTA(_xlpm.matches) &gt; 0, INDEX(_xlpm.matches, 1), "")
)</f>
        <v>ProOne</v>
      </c>
      <c r="E485" t="str" cm="1">
        <f t="array" ref="E485">_xlfn.LET(
  _xlpm.text, " " &amp; B485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85" t="str">
        <f t="shared" si="7"/>
        <v>https://www8.hp.com/h20195/v2/GetDocument.aspx?docname=c06043763</v>
      </c>
    </row>
    <row r="486" spans="1:7" x14ac:dyDescent="0.25">
      <c r="A486" t="s">
        <v>1004</v>
      </c>
      <c r="B486" t="s">
        <v>1005</v>
      </c>
      <c r="C486" t="s">
        <v>20</v>
      </c>
      <c r="D486" t="s">
        <v>21</v>
      </c>
      <c r="E486" t="str" cm="1">
        <f t="array" ref="E486">_xlfn.LET(
  _xlpm.text, " " &amp; B486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486" t="str">
        <f t="shared" si="7"/>
        <v>https://www8.hp.com/h20195/v2/GetDocument.aspx?docname=c06264670</v>
      </c>
    </row>
    <row r="487" spans="1:7" x14ac:dyDescent="0.25">
      <c r="A487" t="s">
        <v>1006</v>
      </c>
      <c r="B487" t="s">
        <v>1007</v>
      </c>
      <c r="C487" t="str" cm="1">
        <f t="array" ref="C487">_xlfn.LET(
  _xlpm.text, B487,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87" t="str" cm="1">
        <f t="array" ref="D487">_xlfn.LET(
  _xlpm.text, B487,
  _xlpm.keywords, Category!$A$1:$A$100,
  _xlpm.matches, _xlfn._xlws.FILTER(_xlpm.keywords, ISNUMBER(SEARCH(_xlpm.keywords, _xlpm.text))),
  IF(COUNTA(_xlpm.matches) &gt; 0, INDEX(_xlpm.matches, 1), "")
)</f>
        <v>Chromebox</v>
      </c>
      <c r="E487" t="str" cm="1">
        <f t="array" ref="E487">_xlfn.LET(
  _xlpm.text, " " &amp; B487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487" t="str">
        <f t="shared" si="7"/>
        <v>https://www8.hp.com/h20195/v2/GetDocument.aspx?docname=c05941107</v>
      </c>
    </row>
    <row r="488" spans="1:7" x14ac:dyDescent="0.25">
      <c r="A488" t="s">
        <v>1008</v>
      </c>
      <c r="B488" t="s">
        <v>1009</v>
      </c>
      <c r="C488" t="str" cm="1">
        <f t="array" ref="C488">_xlfn.LET(
  _xlpm.text, B488,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88" t="str" cm="1">
        <f t="array" ref="D488">_xlfn.LET(
  _xlpm.text, B488,
  _xlpm.keywords, Category!$A$1:$A$100,
  _xlpm.matches, _xlfn._xlws.FILTER(_xlpm.keywords, ISNUMBER(SEARCH(_xlpm.keywords, _xlpm.text))),
  IF(COUNTA(_xlpm.matches) &gt; 0, INDEX(_xlpm.matches, 1), "")
)</f>
        <v>ProBook</v>
      </c>
      <c r="E488" t="str" cm="1">
        <f t="array" ref="E488">_xlfn.LET(
  _xlpm.text, " " &amp; B488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488" t="s">
        <v>9</v>
      </c>
      <c r="G488" t="str">
        <f t="shared" si="7"/>
        <v>https://www8.hp.com/h20195/v2/GetDocument.aspx?docname=c05572133</v>
      </c>
    </row>
    <row r="489" spans="1:7" x14ac:dyDescent="0.25">
      <c r="A489" t="s">
        <v>1010</v>
      </c>
      <c r="B489" t="s">
        <v>1011</v>
      </c>
      <c r="C489" t="str" cm="1">
        <f t="array" ref="C489">_xlfn.LET(
  _xlpm.text, B489,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489" t="str" cm="1">
        <f t="array" ref="D489">_xlfn.LET(
  _xlpm.text, B489,
  _xlpm.keywords, Category!$A$1:$A$100,
  _xlpm.matches, _xlfn._xlws.FILTER(_xlpm.keywords, ISNUMBER(SEARCH(_xlpm.keywords, _xlpm.text))),
  IF(COUNTA(_xlpm.matches) &gt; 0, INDEX(_xlpm.matches, 1), "")
)</f>
        <v>ProDesk</v>
      </c>
      <c r="E489" t="str" cm="1">
        <f t="array" ref="E489">_xlfn.LET(
  _xlpm.text, " " &amp; B489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89" t="str">
        <f t="shared" si="7"/>
        <v>https://www8.hp.com/h20195/v2/GetDocument.aspx?docname=c06269801</v>
      </c>
    </row>
    <row r="490" spans="1:7" x14ac:dyDescent="0.25">
      <c r="A490" t="s">
        <v>1012</v>
      </c>
      <c r="B490" t="s">
        <v>1013</v>
      </c>
      <c r="C490" t="s">
        <v>41</v>
      </c>
      <c r="D490" t="s">
        <v>224</v>
      </c>
      <c r="E490" t="str" cm="1">
        <f t="array" ref="E490">_xlfn.LET(
  _xlpm.text, " " &amp; B490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90" t="str">
        <f t="shared" si="7"/>
        <v>https://www8.hp.com/h20195/v2/GetDocument.aspx?docname=c08049274</v>
      </c>
    </row>
    <row r="491" spans="1:7" x14ac:dyDescent="0.25">
      <c r="A491" t="s">
        <v>1014</v>
      </c>
      <c r="B491" t="s">
        <v>1015</v>
      </c>
      <c r="C491" t="str" cm="1">
        <f t="array" ref="C491">_xlfn.LET(
  _xlpm.text, B491,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491" t="str" cm="1">
        <f t="array" ref="D491">_xlfn.LET(
  _xlpm.text, B491,
  _xlpm.keywords, Category!$A$1:$A$100,
  _xlpm.matches, _xlfn._xlws.FILTER(_xlpm.keywords, ISNUMBER(SEARCH(_xlpm.keywords, _xlpm.text))),
  IF(COUNTA(_xlpm.matches) &gt; 0, INDEX(_xlpm.matches, 1), "")
)</f>
        <v>Engage</v>
      </c>
      <c r="E491" t="str" cm="1">
        <f t="array" ref="E491">_xlfn.LET(
  _xlpm.text, " " &amp; B491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91" t="str">
        <f t="shared" si="7"/>
        <v>https://www8.hp.com/h20195/v2/GetDocument.aspx?docname=c07928667</v>
      </c>
    </row>
    <row r="492" spans="1:7" x14ac:dyDescent="0.25">
      <c r="A492" t="s">
        <v>1016</v>
      </c>
      <c r="B492" t="s">
        <v>1017</v>
      </c>
      <c r="C492" t="str" cm="1">
        <f t="array" ref="C492">_xlfn.LET(
  _xlpm.text, B492,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92" t="str" cm="1">
        <f t="array" ref="D492">_xlfn.LET(
  _xlpm.text, B492,
  _xlpm.keywords, Category!$A$1:$A$100,
  _xlpm.matches, _xlfn._xlws.FILTER(_xlpm.keywords, ISNUMBER(SEARCH(_xlpm.keywords, _xlpm.text))),
  IF(COUNTA(_xlpm.matches) &gt; 0, INDEX(_xlpm.matches, 1), "")
)</f>
        <v>ChromeBook</v>
      </c>
      <c r="E492" t="str" cm="1">
        <f t="array" ref="E492">_xlfn.LET(
  _xlpm.text, " " &amp; B492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G492" t="str">
        <f t="shared" si="7"/>
        <v>https://www8.hp.com/h20195/v2/GetDocument.aspx?docname=c08406315</v>
      </c>
    </row>
    <row r="493" spans="1:7" x14ac:dyDescent="0.25">
      <c r="A493" t="s">
        <v>1018</v>
      </c>
      <c r="B493" t="s">
        <v>1019</v>
      </c>
      <c r="C493" t="str" cm="1">
        <f t="array" ref="C493">_xlfn.LET(
  _xlpm.text, B493,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493" t="s">
        <v>1151</v>
      </c>
      <c r="G493" t="str">
        <f t="shared" si="7"/>
        <v>https://www8.hp.com/h20195/v2/GetDocument.aspx?docname=c08336129</v>
      </c>
    </row>
    <row r="494" spans="1:7" x14ac:dyDescent="0.25">
      <c r="A494" t="s">
        <v>1020</v>
      </c>
      <c r="B494" t="s">
        <v>1021</v>
      </c>
      <c r="C494" t="str" cm="1">
        <f t="array" ref="C494">_xlfn.LET(
  _xlpm.text, B494,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494" t="str" cm="1">
        <f t="array" ref="D494">_xlfn.LET(
  _xlpm.text, B494,
  _xlpm.keywords, Category!$A$1:$A$100,
  _xlpm.matches, _xlfn._xlws.FILTER(_xlpm.keywords, ISNUMBER(SEARCH(_xlpm.keywords, _xlpm.text))),
  IF(COUNTA(_xlpm.matches) &gt; 0, INDEX(_xlpm.matches, 1), "")
)</f>
        <v>EliteBook</v>
      </c>
      <c r="E494" t="str" cm="1">
        <f t="array" ref="E494">_xlfn.LET(
  _xlpm.text, " " &amp; B494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494" t="str">
        <f t="shared" si="7"/>
        <v>https://www8.hp.com/h20195/v2/GetDocument.aspx?docname=c08049275</v>
      </c>
    </row>
    <row r="495" spans="1:7" x14ac:dyDescent="0.25">
      <c r="A495" t="s">
        <v>1022</v>
      </c>
      <c r="B495" t="s">
        <v>1023</v>
      </c>
      <c r="C495" t="str" cm="1">
        <f t="array" ref="C495">_xlfn.LET(
  _xlpm.text, B495,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495" t="s">
        <v>245</v>
      </c>
      <c r="E495" t="str" cm="1">
        <f t="array" ref="E495">_xlfn.LET(
  _xlpm.text, " " &amp; B495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G495" t="str">
        <f t="shared" si="7"/>
        <v>https://www8.hp.com/h20195/v2/GetDocument.aspx?docname=c08135041</v>
      </c>
    </row>
    <row r="496" spans="1:7" x14ac:dyDescent="0.25">
      <c r="A496" t="s">
        <v>1024</v>
      </c>
      <c r="B496" t="s">
        <v>1025</v>
      </c>
      <c r="C496" t="s">
        <v>248</v>
      </c>
      <c r="D496" t="s">
        <v>245</v>
      </c>
      <c r="E496" t="str" cm="1">
        <f t="array" ref="E496">_xlfn.LET(
  _xlpm.text, " " &amp; B496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496" t="str">
        <f t="shared" si="7"/>
        <v>https://www8.hp.com/h20195/v2/GetDocument.aspx?docname=c09146969</v>
      </c>
    </row>
    <row r="497" spans="1:7" x14ac:dyDescent="0.25">
      <c r="A497" t="s">
        <v>1026</v>
      </c>
      <c r="B497" t="s">
        <v>1027</v>
      </c>
      <c r="C497" t="s">
        <v>20</v>
      </c>
      <c r="D497" t="s">
        <v>275</v>
      </c>
      <c r="E497" t="str" cm="1">
        <f t="array" ref="E497">_xlfn.LET(
  _xlpm.text, " " &amp; B497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97" t="str">
        <f t="shared" si="7"/>
        <v>https://www8.hp.com/h20195/v2/GetDocument.aspx?docname=c08138401</v>
      </c>
    </row>
    <row r="498" spans="1:7" x14ac:dyDescent="0.25">
      <c r="A498" t="s">
        <v>1028</v>
      </c>
      <c r="B498" t="s">
        <v>1029</v>
      </c>
      <c r="C498" t="str" cm="1">
        <f t="array" ref="C498">_xlfn.LET(
  _xlpm.text, B498,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498" t="s">
        <v>245</v>
      </c>
      <c r="E498" t="str" cm="1">
        <f t="array" ref="E498">_xlfn.LET(
  _xlpm.text, " " &amp; B498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G498" t="str">
        <f t="shared" si="7"/>
        <v>https://www8.hp.com/h20195/v2/GetDocument.aspx?docname=c09120490</v>
      </c>
    </row>
    <row r="499" spans="1:7" x14ac:dyDescent="0.25">
      <c r="A499" t="s">
        <v>1030</v>
      </c>
      <c r="B499" t="s">
        <v>1031</v>
      </c>
      <c r="C499" t="s">
        <v>41</v>
      </c>
      <c r="D499" t="s">
        <v>47</v>
      </c>
      <c r="E499" t="str" cm="1">
        <f t="array" ref="E499">_xlfn.LET(
  _xlpm.text, " " &amp; B499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499" t="str">
        <f t="shared" si="7"/>
        <v>https://www8.hp.com/h20195/v2/GetDocument.aspx?docname=c04123334</v>
      </c>
    </row>
    <row r="500" spans="1:7" x14ac:dyDescent="0.25">
      <c r="A500" t="s">
        <v>1032</v>
      </c>
      <c r="B500" t="s">
        <v>1033</v>
      </c>
      <c r="C500" t="s">
        <v>20</v>
      </c>
      <c r="D500" t="s">
        <v>275</v>
      </c>
      <c r="E500" t="str" cm="1">
        <f t="array" ref="E500">_xlfn.LET(
  _xlpm.text, " " &amp; B500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00" t="str">
        <f t="shared" si="7"/>
        <v>https://www8.hp.com/h20195/v2/GetDocument.aspx?docname=c08308931</v>
      </c>
    </row>
    <row r="501" spans="1:7" x14ac:dyDescent="0.25">
      <c r="A501" t="s">
        <v>1034</v>
      </c>
      <c r="B501" t="s">
        <v>1035</v>
      </c>
      <c r="C501" t="s">
        <v>20</v>
      </c>
      <c r="D501" t="s">
        <v>275</v>
      </c>
      <c r="E501" t="str" cm="1">
        <f t="array" ref="E501">_xlfn.LET(
  _xlpm.text, " " &amp; B501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01" t="str">
        <f t="shared" si="7"/>
        <v>https://www8.hp.com/h20195/v2/GetDocument.aspx?docname=c08376528</v>
      </c>
    </row>
    <row r="502" spans="1:7" x14ac:dyDescent="0.25">
      <c r="A502" t="s">
        <v>1036</v>
      </c>
      <c r="B502" t="s">
        <v>1037</v>
      </c>
      <c r="C502" t="str" cm="1">
        <f t="array" ref="C502">_xlfn.LET(
  _xlpm.text, B502,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02" t="s">
        <v>47</v>
      </c>
      <c r="E502" t="str" cm="1">
        <f t="array" ref="E502">_xlfn.LET(
  _xlpm.text, " " &amp; B502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02" t="str">
        <f t="shared" si="7"/>
        <v>https://www8.hp.com/h20195/v2/GetDocument.aspx?docname=c04573649</v>
      </c>
    </row>
    <row r="503" spans="1:7" x14ac:dyDescent="0.25">
      <c r="A503" t="s">
        <v>1038</v>
      </c>
      <c r="B503" t="s">
        <v>1039</v>
      </c>
      <c r="C503" t="str" cm="1">
        <f t="array" ref="C503">_xlfn.LET(
  _xlpm.text, B503,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03" t="str" cm="1">
        <f t="array" ref="D503">_xlfn.LET(
  _xlpm.text, B503,
  _xlpm.keywords, Category!$A$1:$A$100,
  _xlpm.matches, _xlfn._xlws.FILTER(_xlpm.keywords, ISNUMBER(SEARCH(_xlpm.keywords, _xlpm.text))),
  IF(COUNTA(_xlpm.matches) &gt; 0, INDEX(_xlpm.matches, 1), "")
)</f>
        <v>ProBook</v>
      </c>
      <c r="E503" t="str" cm="1">
        <f t="array" ref="E503">_xlfn.LET(
  _xlpm.text, " " &amp; B503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03" t="str">
        <f t="shared" si="7"/>
        <v>https://www8.hp.com/h20195/v2/GetDocument.aspx?docname=c09102586</v>
      </c>
    </row>
    <row r="504" spans="1:7" x14ac:dyDescent="0.25">
      <c r="A504" t="s">
        <v>1040</v>
      </c>
      <c r="B504" t="s">
        <v>1041</v>
      </c>
      <c r="C504" t="str" cm="1">
        <f t="array" ref="C504">_xlfn.LET(
  _xlpm.text, B504,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04" t="str" cm="1">
        <f t="array" ref="D504">_xlfn.LET(
  _xlpm.text, B504,
  _xlpm.keywords, Category!$A$1:$A$100,
  _xlpm.matches, _xlfn._xlws.FILTER(_xlpm.keywords, ISNUMBER(SEARCH(_xlpm.keywords, _xlpm.text))),
  IF(COUNTA(_xlpm.matches) &gt; 0, INDEX(_xlpm.matches, 1), "")
)</f>
        <v>EliteBook</v>
      </c>
      <c r="E504" t="str" cm="1">
        <f t="array" ref="E504">_xlfn.LET(
  _xlpm.text, " " &amp; B504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04" t="str">
        <f t="shared" si="7"/>
        <v>https://www8.hp.com/h20195/v2/GetDocument.aspx?docname=c09097609</v>
      </c>
    </row>
    <row r="505" spans="1:7" x14ac:dyDescent="0.25">
      <c r="A505" t="s">
        <v>1042</v>
      </c>
      <c r="B505" t="s">
        <v>1043</v>
      </c>
      <c r="C505" t="str" cm="1">
        <f t="array" ref="C505">_xlfn.LET(
  _xlpm.text, B505,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05" t="str" cm="1">
        <f t="array" ref="D505">_xlfn.LET(
  _xlpm.text, B505,
  _xlpm.keywords, Category!$A$1:$A$100,
  _xlpm.matches, _xlfn._xlws.FILTER(_xlpm.keywords, ISNUMBER(SEARCH(_xlpm.keywords, _xlpm.text))),
  IF(COUNTA(_xlpm.matches) &gt; 0, INDEX(_xlpm.matches, 1), "")
)</f>
        <v>EliteBook</v>
      </c>
      <c r="E505" t="str" cm="1">
        <f t="array" ref="E505">_xlfn.LET(
  _xlpm.text, " " &amp; B505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05" t="str">
        <f t="shared" si="7"/>
        <v>https://www8.hp.com/h20195/v2/GetDocument.aspx?docname=c09097611</v>
      </c>
    </row>
    <row r="506" spans="1:7" x14ac:dyDescent="0.25">
      <c r="A506" t="s">
        <v>1044</v>
      </c>
      <c r="B506" t="s">
        <v>1045</v>
      </c>
      <c r="C506" t="str" cm="1">
        <f t="array" ref="C506">_xlfn.LET(
  _xlpm.text, B506,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06" t="str" cm="1">
        <f t="array" ref="D506">_xlfn.LET(
  _xlpm.text, B506,
  _xlpm.keywords, Category!$A$1:$A$100,
  _xlpm.matches, _xlfn._xlws.FILTER(_xlpm.keywords, ISNUMBER(SEARCH(_xlpm.keywords, _xlpm.text))),
  IF(COUNTA(_xlpm.matches) &gt; 0, INDEX(_xlpm.matches, 1), "")
)</f>
        <v>ProBook</v>
      </c>
      <c r="E506" t="str" cm="1">
        <f t="array" ref="E506">_xlfn.LET(
  _xlpm.text, " " &amp; B506 &amp; " ",
  _xlpm.keywords, GenList!$A$1:$A$100,
  _xlpm.paddedKeywords, " " &amp; _xlpm.keywords &amp; " ",
  _xlpm.matches, _xlfn._xlws.FILTER(_xlpm.keywords, ISNUMBER(SEARCH(_xlpm.paddedKeywords, _xlpm.text))),
  IFERROR(INDEX(_xlpm.matches, 1), "")
)</f>
        <v>G1q</v>
      </c>
      <c r="G506" t="str">
        <f t="shared" si="7"/>
        <v>https://www8.hp.com/h20195/v2/GetDocument.aspx?docname=c09102585</v>
      </c>
    </row>
    <row r="507" spans="1:7" x14ac:dyDescent="0.25">
      <c r="A507" t="s">
        <v>1046</v>
      </c>
      <c r="B507" t="s">
        <v>1047</v>
      </c>
      <c r="C507" t="str" cm="1">
        <f t="array" ref="C507">_xlfn.LET(
  _xlpm.text, B507,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07" t="str" cm="1">
        <f t="array" ref="D507">_xlfn.LET(
  _xlpm.text, B507,
  _xlpm.keywords, Category!$A$1:$A$100,
  _xlpm.matches, _xlfn._xlws.FILTER(_xlpm.keywords, ISNUMBER(SEARCH(_xlpm.keywords, _xlpm.text))),
  IF(COUNTA(_xlpm.matches) &gt; 0, INDEX(_xlpm.matches, 1), "")
)</f>
        <v>ProOne</v>
      </c>
      <c r="E507" t="str" cm="1">
        <f t="array" ref="E507">_xlfn.LET(
  _xlpm.text, " " &amp; B507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507" t="str">
        <f t="shared" si="7"/>
        <v>https://www8.hp.com/h20195/v2/GetDocument.aspx?docname=c08628726</v>
      </c>
    </row>
    <row r="508" spans="1:7" x14ac:dyDescent="0.25">
      <c r="A508" t="s">
        <v>1048</v>
      </c>
      <c r="B508" t="s">
        <v>1049</v>
      </c>
      <c r="C508" t="str" cm="1">
        <f t="array" ref="C508">_xlfn.LET(
  _xlpm.text, B508,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08" t="str" cm="1">
        <f t="array" ref="D508">_xlfn.LET(
  _xlpm.text, B508,
  _xlpm.keywords, Category!$A$1:$A$100,
  _xlpm.matches, _xlfn._xlws.FILTER(_xlpm.keywords, ISNUMBER(SEARCH(_xlpm.keywords, _xlpm.text))),
  IF(COUNTA(_xlpm.matches) &gt; 0, INDEX(_xlpm.matches, 1), "")
)</f>
        <v>ProBook</v>
      </c>
      <c r="E508" t="str" cm="1">
        <f t="array" ref="E508">_xlfn.LET(
  _xlpm.text, " " &amp; B508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508" t="str">
        <f t="shared" si="7"/>
        <v>https://www8.hp.com/h20195/v2/GetDocument.aspx?docname=c08915500</v>
      </c>
    </row>
    <row r="509" spans="1:7" x14ac:dyDescent="0.25">
      <c r="A509" t="s">
        <v>1050</v>
      </c>
      <c r="B509" t="s">
        <v>578</v>
      </c>
      <c r="C509" t="str" cm="1">
        <f t="array" ref="C509">_xlfn.LET(
  _xlpm.text, B509,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09" t="s">
        <v>1154</v>
      </c>
      <c r="E509" t="str" cm="1">
        <f t="array" ref="E509">_xlfn.LET(
  _xlpm.text, " " &amp; B509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509" t="str">
        <f t="shared" si="7"/>
        <v>https://www8.hp.com/h20195/v2/GetDocument.aspx?docname=c08017769</v>
      </c>
    </row>
    <row r="510" spans="1:7" x14ac:dyDescent="0.25">
      <c r="A510" t="s">
        <v>1051</v>
      </c>
      <c r="B510" t="s">
        <v>1052</v>
      </c>
      <c r="C510" t="str" cm="1">
        <f t="array" ref="C510">_xlfn.LET(
  _xlpm.text, B510,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0" t="str" cm="1">
        <f t="array" ref="D510">_xlfn.LET(
  _xlpm.text, B510,
  _xlpm.keywords, Category!$A$1:$A$100,
  _xlpm.matches, _xlfn._xlws.FILTER(_xlpm.keywords, ISNUMBER(SEARCH(_xlpm.keywords, _xlpm.text))),
  IF(COUNTA(_xlpm.matches) &gt; 0, INDEX(_xlpm.matches, 1), "")
)</f>
        <v>EliteBook</v>
      </c>
      <c r="E510" t="str" cm="1">
        <f t="array" ref="E510">_xlfn.LET(
  _xlpm.text, " " &amp; B510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510" t="str">
        <f t="shared" si="7"/>
        <v>https://www8.hp.com/h20195/v2/GetDocument.aspx?docname=c09120197</v>
      </c>
    </row>
    <row r="511" spans="1:7" x14ac:dyDescent="0.25">
      <c r="A511" t="s">
        <v>1053</v>
      </c>
      <c r="B511" t="s">
        <v>1054</v>
      </c>
      <c r="C511" t="str" cm="1">
        <f t="array" ref="C511">_xlfn.LET(
  _xlpm.text, B511,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1" t="str" cm="1">
        <f t="array" ref="D511">_xlfn.LET(
  _xlpm.text, B511,
  _xlpm.keywords, Category!$A$1:$A$100,
  _xlpm.matches, _xlfn._xlws.FILTER(_xlpm.keywords, ISNUMBER(SEARCH(_xlpm.keywords, _xlpm.text))),
  IF(COUNTA(_xlpm.matches) &gt; 0, INDEX(_xlpm.matches, 1), "")
)</f>
        <v>EliteBook</v>
      </c>
      <c r="E511" t="str" cm="1">
        <f t="array" ref="E511">_xlfn.LET(
  _xlpm.text, " " &amp; B511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511" t="str">
        <f t="shared" si="7"/>
        <v>https://www8.hp.com/h20195/v2/GetDocument.aspx?docname=c09120196</v>
      </c>
    </row>
    <row r="512" spans="1:7" x14ac:dyDescent="0.25">
      <c r="A512" t="s">
        <v>1055</v>
      </c>
      <c r="B512" t="s">
        <v>1056</v>
      </c>
      <c r="C512" t="str" cm="1">
        <f t="array" ref="C512">_xlfn.LET(
  _xlpm.text, B512,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2" t="str" cm="1">
        <f t="array" ref="D512">_xlfn.LET(
  _xlpm.text, B512,
  _xlpm.keywords, Category!$A$1:$A$100,
  _xlpm.matches, _xlfn._xlws.FILTER(_xlpm.keywords, ISNUMBER(SEARCH(_xlpm.keywords, _xlpm.text))),
  IF(COUNTA(_xlpm.matches) &gt; 0, INDEX(_xlpm.matches, 1), "")
)</f>
        <v>ChromeBook</v>
      </c>
      <c r="E512" t="str" cm="1">
        <f t="array" ref="E512">_xlfn.LET(
  _xlpm.text, " " &amp; B512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12" t="str">
        <f t="shared" si="7"/>
        <v>https://www8.hp.com/h20195/v2/GetDocument.aspx?docname=c09073636</v>
      </c>
    </row>
    <row r="513" spans="1:7" x14ac:dyDescent="0.25">
      <c r="A513" t="s">
        <v>1057</v>
      </c>
      <c r="B513" t="s">
        <v>1058</v>
      </c>
      <c r="C513" t="str" cm="1">
        <f t="array" ref="C513">_xlfn.LET(
  _xlpm.text, B513,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13" t="s">
        <v>1154</v>
      </c>
      <c r="E513" t="str" cm="1">
        <f t="array" ref="E513">_xlfn.LET(
  _xlpm.text, " " &amp; B513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G513" t="str">
        <f t="shared" ref="G513:G536" si="8">_xlfn.CONCAT("https://www8.hp.com/h20195/v2/GetDocument.aspx?docname=",A513)</f>
        <v>https://www8.hp.com/h20195/v2/GetDocument.aspx?docname=c08017710</v>
      </c>
    </row>
    <row r="514" spans="1:7" x14ac:dyDescent="0.25">
      <c r="A514" t="s">
        <v>1059</v>
      </c>
      <c r="B514" t="s">
        <v>1060</v>
      </c>
      <c r="C514" t="str" cm="1">
        <f t="array" ref="C514">_xlfn.LET(
  _xlpm.text, B514,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4" t="str" cm="1">
        <f t="array" ref="D514">_xlfn.LET(
  _xlpm.text, B514,
  _xlpm.keywords, Category!$A$1:$A$100,
  _xlpm.matches, _xlfn._xlws.FILTER(_xlpm.keywords, ISNUMBER(SEARCH(_xlpm.keywords, _xlpm.text))),
  IF(COUNTA(_xlpm.matches) &gt; 0, INDEX(_xlpm.matches, 1), "")
)</f>
        <v>EliteBook</v>
      </c>
      <c r="E514" t="str" cm="1">
        <f t="array" ref="E514">_xlfn.LET(
  _xlpm.text, " " &amp; B514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514" t="str">
        <f t="shared" si="8"/>
        <v>https://www8.hp.com/h20195/v2/GetDocument.aspx?docname=c08915792</v>
      </c>
    </row>
    <row r="515" spans="1:7" x14ac:dyDescent="0.25">
      <c r="A515" t="s">
        <v>1061</v>
      </c>
      <c r="B515" t="s">
        <v>1062</v>
      </c>
      <c r="C515" t="s">
        <v>20</v>
      </c>
      <c r="D515" t="s">
        <v>47</v>
      </c>
      <c r="G515" t="str">
        <f t="shared" si="8"/>
        <v>https://www8.hp.com/h20195/v2/GetDocument.aspx?docname=c09168549</v>
      </c>
    </row>
    <row r="516" spans="1:7" x14ac:dyDescent="0.25">
      <c r="A516" t="s">
        <v>1063</v>
      </c>
      <c r="B516" t="s">
        <v>1064</v>
      </c>
      <c r="C516" t="str" cm="1">
        <f t="array" ref="C516">_xlfn.LET(
  _xlpm.text, B516,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6" t="str" cm="1">
        <f t="array" ref="D516">_xlfn.LET(
  _xlpm.text, B516,
  _xlpm.keywords, Category!$A$1:$A$100,
  _xlpm.matches, _xlfn._xlws.FILTER(_xlpm.keywords, ISNUMBER(SEARCH(_xlpm.keywords, _xlpm.text))),
  IF(COUNTA(_xlpm.matches) &gt; 0, INDEX(_xlpm.matches, 1), "")
)</f>
        <v>EliteBook</v>
      </c>
      <c r="E516" t="str" cm="1">
        <f t="array" ref="E516">_xlfn.LET(
  _xlpm.text, " " &amp; B516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16" t="str">
        <f t="shared" si="8"/>
        <v>https://www8.hp.com/h20195/v2/GetDocument.aspx?docname=c09080731</v>
      </c>
    </row>
    <row r="517" spans="1:7" x14ac:dyDescent="0.25">
      <c r="A517" t="s">
        <v>1065</v>
      </c>
      <c r="B517" t="s">
        <v>1066</v>
      </c>
      <c r="C517" t="str" cm="1">
        <f t="array" ref="C517">_xlfn.LET(
  _xlpm.text, B517,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7" t="str" cm="1">
        <f t="array" ref="D517">_xlfn.LET(
  _xlpm.text, B517,
  _xlpm.keywords, Category!$A$1:$A$100,
  _xlpm.matches, _xlfn._xlws.FILTER(_xlpm.keywords, ISNUMBER(SEARCH(_xlpm.keywords, _xlpm.text))),
  IF(COUNTA(_xlpm.matches) &gt; 0, INDEX(_xlpm.matches, 1), "")
)</f>
        <v>EliteBook</v>
      </c>
      <c r="E517" t="str" cm="1">
        <f t="array" ref="E517">_xlfn.LET(
  _xlpm.text, " " &amp; B517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517" t="str">
        <f t="shared" si="8"/>
        <v>https://www8.hp.com/h20195/v2/GetDocument.aspx?docname=c08945857</v>
      </c>
    </row>
    <row r="518" spans="1:7" x14ac:dyDescent="0.25">
      <c r="A518" t="s">
        <v>1067</v>
      </c>
      <c r="B518" t="s">
        <v>1068</v>
      </c>
      <c r="C518" t="str" cm="1">
        <f t="array" ref="C518">_xlfn.LET(
  _xlpm.text, B518,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518" t="str" cm="1">
        <f t="array" ref="D518">_xlfn.LET(
  _xlpm.text, B518,
  _xlpm.keywords, Category!$A$1:$A$100,
  _xlpm.matches, _xlfn._xlws.FILTER(_xlpm.keywords, ISNUMBER(SEARCH(_xlpm.keywords, _xlpm.text))),
  IF(COUNTA(_xlpm.matches) &gt; 0, INDEX(_xlpm.matches, 1), "")
)</f>
        <v>ZBook</v>
      </c>
      <c r="E518" t="str" cm="1">
        <f t="array" ref="E518">_xlfn.LET(
  _xlpm.text, " " &amp; B518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18" t="str">
        <f t="shared" si="8"/>
        <v>https://www8.hp.com/h20195/v2/GetDocument.aspx?docname=c09133731</v>
      </c>
    </row>
    <row r="519" spans="1:7" x14ac:dyDescent="0.25">
      <c r="A519" t="s">
        <v>1069</v>
      </c>
      <c r="B519" t="s">
        <v>1070</v>
      </c>
      <c r="C519" t="str" cm="1">
        <f t="array" ref="C519">_xlfn.LET(
  _xlpm.text, B519,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19" t="str" cm="1">
        <f t="array" ref="D519">_xlfn.LET(
  _xlpm.text, B519,
  _xlpm.keywords, Category!$A$1:$A$100,
  _xlpm.matches, _xlfn._xlws.FILTER(_xlpm.keywords, ISNUMBER(SEARCH(_xlpm.keywords, _xlpm.text))),
  IF(COUNTA(_xlpm.matches) &gt; 0, INDEX(_xlpm.matches, 1), "")
)</f>
        <v>EliteBook</v>
      </c>
      <c r="E519" t="str" cm="1">
        <f t="array" ref="E519">_xlfn.LET(
  _xlpm.text, " " &amp; B519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519" t="str">
        <f t="shared" si="8"/>
        <v>https://www8.hp.com/h20195/v2/GetDocument.aspx?docname=c09111178</v>
      </c>
    </row>
    <row r="520" spans="1:7" x14ac:dyDescent="0.25">
      <c r="A520" t="s">
        <v>1071</v>
      </c>
      <c r="B520" t="s">
        <v>1072</v>
      </c>
      <c r="C520" t="str" cm="1">
        <f t="array" ref="C520">_xlfn.LET(
  _xlpm.text, B520,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20" t="str" cm="1">
        <f t="array" ref="D520">_xlfn.LET(
  _xlpm.text, B520,
  _xlpm.keywords, Category!$A$1:$A$100,
  _xlpm.matches, _xlfn._xlws.FILTER(_xlpm.keywords, ISNUMBER(SEARCH(_xlpm.keywords, _xlpm.text))),
  IF(COUNTA(_xlpm.matches) &gt; 0, INDEX(_xlpm.matches, 1), "")
)</f>
        <v>EliteBook</v>
      </c>
      <c r="E520" t="str" cm="1">
        <f t="array" ref="E520">_xlfn.LET(
  _xlpm.text, " " &amp; B520 &amp; " ",
  _xlpm.keywords, GenList!$A$1:$A$100,
  _xlpm.paddedKeywords, " " &amp; _xlpm.keywords &amp; " ",
  _xlpm.matches, _xlfn._xlws.FILTER(_xlpm.keywords, ISNUMBER(SEARCH(_xlpm.paddedKeywords, _xlpm.text))),
  IFERROR(INDEX(_xlpm.matches, 1), "")
)</f>
        <v>G1a</v>
      </c>
      <c r="G520" t="str">
        <f t="shared" si="8"/>
        <v>https://www8.hp.com/h20195/v2/GetDocument.aspx?docname=c09111177</v>
      </c>
    </row>
    <row r="521" spans="1:7" x14ac:dyDescent="0.25">
      <c r="A521" t="s">
        <v>1073</v>
      </c>
      <c r="B521" t="s">
        <v>1074</v>
      </c>
      <c r="C521" t="str" cm="1">
        <f t="array" ref="C521">_xlfn.LET(
  _xlpm.text, B521,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21" t="str" cm="1">
        <f t="array" ref="D521">_xlfn.LET(
  _xlpm.text, B521,
  _xlpm.keywords, Category!$A$1:$A$100,
  _xlpm.matches, _xlfn._xlws.FILTER(_xlpm.keywords, ISNUMBER(SEARCH(_xlpm.keywords, _xlpm.text))),
  IF(COUNTA(_xlpm.matches) &gt; 0, INDEX(_xlpm.matches, 1), "")
)</f>
        <v>EliteBook</v>
      </c>
      <c r="E521" t="str" cm="1">
        <f t="array" ref="E521">_xlfn.LET(
  _xlpm.text, " " &amp; B521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521" t="str">
        <f t="shared" si="8"/>
        <v>https://www8.hp.com/h20195/v2/GetDocument.aspx?docname=c08893140</v>
      </c>
    </row>
    <row r="522" spans="1:7" x14ac:dyDescent="0.25">
      <c r="A522" t="s">
        <v>1075</v>
      </c>
      <c r="B522" t="s">
        <v>1076</v>
      </c>
      <c r="C522" t="str" cm="1">
        <f t="array" ref="C522">_xlfn.LET(
  _xlpm.text, B522,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22" t="str" cm="1">
        <f t="array" ref="D522">_xlfn.LET(
  _xlpm.text, B522,
  _xlpm.keywords, Category!$A$1:$A$100,
  _xlpm.matches, _xlfn._xlws.FILTER(_xlpm.keywords, ISNUMBER(SEARCH(_xlpm.keywords, _xlpm.text))),
  IF(COUNTA(_xlpm.matches) &gt; 0, INDEX(_xlpm.matches, 1), "")
)</f>
        <v>ProBook</v>
      </c>
      <c r="E522" t="str" cm="1">
        <f t="array" ref="E522">_xlfn.LET(
  _xlpm.text, " " &amp; B522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522" t="str">
        <f t="shared" si="8"/>
        <v>https://www8.hp.com/h20195/v2/GetDocument.aspx?docname=c08480165</v>
      </c>
    </row>
    <row r="523" spans="1:7" x14ac:dyDescent="0.25">
      <c r="A523" t="s">
        <v>1077</v>
      </c>
      <c r="B523" t="s">
        <v>1078</v>
      </c>
      <c r="C523" t="str" cm="1">
        <f t="array" ref="C523">_xlfn.LET(
  _xlpm.text, B523,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23" t="s">
        <v>1079</v>
      </c>
      <c r="E523" t="str" cm="1">
        <f t="array" ref="E523">_xlfn.LET(
  _xlpm.text, " " &amp; B523 &amp; " ",
  _xlpm.keywords, GenList!$A$1:$A$100,
  _xlpm.paddedKeywords, " " &amp; _xlpm.keywords &amp; " ",
  _xlpm.matches, _xlfn._xlws.FILTER(_xlpm.keywords, ISNUMBER(SEARCH(_xlpm.paddedKeywords, _xlpm.text))),
  IFERROR(INDEX(_xlpm.matches, 1), "")
)</f>
        <v>G11</v>
      </c>
      <c r="G523" t="str">
        <f t="shared" si="8"/>
        <v>https://www8.hp.com/h20195/v2/GetDocument.aspx?docname=c08818350</v>
      </c>
    </row>
    <row r="524" spans="1:7" x14ac:dyDescent="0.25">
      <c r="A524" t="s">
        <v>1080</v>
      </c>
      <c r="B524" t="s">
        <v>1081</v>
      </c>
      <c r="C524" t="str" cm="1">
        <f t="array" ref="C524">_xlfn.LET(
  _xlpm.text, B524,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24" t="str" cm="1">
        <f t="array" ref="D524">_xlfn.LET(
  _xlpm.text, B524,
  _xlpm.keywords, Category!$A$1:$A$100,
  _xlpm.matches, _xlfn._xlws.FILTER(_xlpm.keywords, ISNUMBER(SEARCH(_xlpm.keywords, _xlpm.text))),
  IF(COUNTA(_xlpm.matches) &gt; 0, INDEX(_xlpm.matches, 1), "")
)</f>
        <v>EliteBook</v>
      </c>
      <c r="E524" t="str" cm="1">
        <f t="array" ref="E524">_xlfn.LET(
  _xlpm.text, " " &amp; B524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24" t="str">
        <f t="shared" si="8"/>
        <v>https://www8.hp.com/h20195/v2/GetDocument.aspx?docname=c09080730</v>
      </c>
    </row>
    <row r="525" spans="1:7" x14ac:dyDescent="0.25">
      <c r="A525" t="s">
        <v>1082</v>
      </c>
      <c r="B525" t="s">
        <v>1083</v>
      </c>
      <c r="C525" t="str" cm="1">
        <f t="array" ref="C525">_xlfn.LET(
  _xlpm.text, B525,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25" t="str" cm="1">
        <f t="array" ref="D525">_xlfn.LET(
  _xlpm.text, B525,
  _xlpm.keywords, Category!$A$1:$A$100,
  _xlpm.matches, _xlfn._xlws.FILTER(_xlpm.keywords, ISNUMBER(SEARCH(_xlpm.keywords, _xlpm.text))),
  IF(COUNTA(_xlpm.matches) &gt; 0, INDEX(_xlpm.matches, 1), "")
)</f>
        <v>Series 5</v>
      </c>
      <c r="E525" t="str" cm="1">
        <f t="array" ref="E525">_xlfn.LET(
  _xlpm.text, " " &amp; B525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25" t="str">
        <f t="shared" si="8"/>
        <v>https://www8.hp.com/h20195/v2/GetDocument.aspx?docname=c09073622</v>
      </c>
    </row>
    <row r="526" spans="1:7" x14ac:dyDescent="0.25">
      <c r="A526" t="s">
        <v>1084</v>
      </c>
      <c r="B526" t="s">
        <v>1085</v>
      </c>
      <c r="C526" t="s">
        <v>20</v>
      </c>
      <c r="D526" t="s">
        <v>47</v>
      </c>
      <c r="E526" t="str" cm="1">
        <f t="array" ref="E526">_xlfn.LET(
  _xlpm.text, " " &amp; B526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26" t="str">
        <f t="shared" si="8"/>
        <v>https://www8.hp.com/h20195/v2/GetDocument.aspx?docname=c09180289</v>
      </c>
    </row>
    <row r="527" spans="1:7" x14ac:dyDescent="0.25">
      <c r="A527" t="s">
        <v>1086</v>
      </c>
      <c r="B527" t="s">
        <v>1087</v>
      </c>
      <c r="C527" t="str" cm="1">
        <f t="array" ref="C527">_xlfn.LET(
  _xlpm.text, B527,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27" t="str" cm="1">
        <f t="array" ref="D527">_xlfn.LET(
  _xlpm.text, B527,
  _xlpm.keywords, Category!$A$1:$A$100,
  _xlpm.matches, _xlfn._xlws.FILTER(_xlpm.keywords, ISNUMBER(SEARCH(_xlpm.keywords, _xlpm.text))),
  IF(COUNTA(_xlpm.matches) &gt; 0, INDEX(_xlpm.matches, 1), "")
)</f>
        <v>Engage</v>
      </c>
      <c r="E527" t="str" cm="1">
        <f t="array" ref="E527">_xlfn.LET(
  _xlpm.text, " " &amp; B527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27" t="str">
        <f t="shared" si="8"/>
        <v>https://www8.hp.com/h20195/v2/GetDocument.aspx?docname=c07727081</v>
      </c>
    </row>
    <row r="528" spans="1:7" x14ac:dyDescent="0.25">
      <c r="A528" t="s">
        <v>1088</v>
      </c>
      <c r="B528" t="s">
        <v>1089</v>
      </c>
      <c r="C528" t="str" cm="1">
        <f t="array" ref="C528">_xlfn.LET(
  _xlpm.text, B528,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Mobile Workstations</v>
      </c>
      <c r="D528" t="str" cm="1">
        <f t="array" ref="D528">_xlfn.LET(
  _xlpm.text, B528,
  _xlpm.keywords, Category!$A$1:$A$100,
  _xlpm.matches, _xlfn._xlws.FILTER(_xlpm.keywords, ISNUMBER(SEARCH(_xlpm.keywords, _xlpm.text))),
  IF(COUNTA(_xlpm.matches) &gt; 0, INDEX(_xlpm.matches, 1), "")
)</f>
        <v>ZBook</v>
      </c>
      <c r="E528" t="str" cm="1">
        <f t="array" ref="E528">_xlfn.LET(
  _xlpm.text, " " &amp; B528 &amp; " ",
  _xlpm.keywords, GenList!$A$1:$A$100,
  _xlpm.paddedKeywords, " " &amp; _xlpm.keywords &amp; " ",
  _xlpm.matches, _xlfn._xlws.FILTER(_xlpm.keywords, ISNUMBER(SEARCH(_xlpm.paddedKeywords, _xlpm.text))),
  IFERROR(INDEX(_xlpm.matches, 1), "")
)</f>
        <v>G1i</v>
      </c>
      <c r="G528" t="str">
        <f t="shared" si="8"/>
        <v>https://www8.hp.com/h20195/v2/GetDocument.aspx?docname=c09153575</v>
      </c>
    </row>
    <row r="529" spans="1:7" x14ac:dyDescent="0.25">
      <c r="A529" t="s">
        <v>1090</v>
      </c>
      <c r="B529" t="s">
        <v>1091</v>
      </c>
      <c r="C529" t="str" cm="1">
        <f t="array" ref="C529">_xlfn.LET(
  _xlpm.text, B529,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29" t="str" cm="1">
        <f t="array" ref="D529">_xlfn.LET(
  _xlpm.text, B529,
  _xlpm.keywords, Category!$A$1:$A$100,
  _xlpm.matches, _xlfn._xlws.FILTER(_xlpm.keywords, ISNUMBER(SEARCH(_xlpm.keywords, _xlpm.text))),
  IF(COUNTA(_xlpm.matches) &gt; 0, INDEX(_xlpm.matches, 1), "")
)</f>
        <v>Engage</v>
      </c>
      <c r="E529" t="str" cm="1">
        <f t="array" ref="E529">_xlfn.LET(
  _xlpm.text, " " &amp; B529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G529" t="str">
        <f t="shared" si="8"/>
        <v>https://www8.hp.com/h20195/v2/GetDocument.aspx?docname=c09094897</v>
      </c>
    </row>
    <row r="530" spans="1:7" x14ac:dyDescent="0.25">
      <c r="A530" t="s">
        <v>1092</v>
      </c>
      <c r="B530" t="s">
        <v>1093</v>
      </c>
      <c r="C530" t="str" cm="1">
        <f t="array" ref="C530">_xlfn.LET(
  _xlpm.text, B530,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530" t="str" cm="1">
        <f t="array" ref="D530">_xlfn.LET(
  _xlpm.text, B530,
  _xlpm.keywords, Category!$A$1:$A$100,
  _xlpm.matches, _xlfn._xlws.FILTER(_xlpm.keywords, ISNUMBER(SEARCH(_xlpm.keywords, _xlpm.text))),
  IF(COUNTA(_xlpm.matches) &gt; 0, INDEX(_xlpm.matches, 1), "")
)</f>
        <v>Thin Client</v>
      </c>
      <c r="E530" t="str" cm="1">
        <f t="array" ref="E530">_xlfn.LET(
  _xlpm.text, " " &amp; B530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30" t="str">
        <f t="shared" si="8"/>
        <v>https://www8.hp.com/h20195/v2/GetDocument.aspx?docname=c08854791</v>
      </c>
    </row>
    <row r="531" spans="1:7" x14ac:dyDescent="0.25">
      <c r="A531" t="s">
        <v>1094</v>
      </c>
      <c r="B531" t="s">
        <v>1095</v>
      </c>
      <c r="C531" t="str" cm="1">
        <f t="array" ref="C531">_xlfn.LET(
  _xlpm.text, B531,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531" t="s">
        <v>1151</v>
      </c>
      <c r="G531" t="str">
        <f t="shared" si="8"/>
        <v>https://www8.hp.com/h20195/v2/GetDocument.aspx?docname=c09010549</v>
      </c>
    </row>
    <row r="532" spans="1:7" x14ac:dyDescent="0.25">
      <c r="A532" t="s">
        <v>1096</v>
      </c>
      <c r="B532" t="s">
        <v>1097</v>
      </c>
      <c r="C532" t="s">
        <v>41</v>
      </c>
      <c r="D532" t="s">
        <v>47</v>
      </c>
      <c r="E532" t="str" cm="1">
        <f t="array" ref="E532">_xlfn.LET(
  _xlpm.text, " " &amp; B532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32" t="str">
        <f t="shared" si="8"/>
        <v>https://www8.hp.com/h20195/v2/GetDocument.aspx?docname=c04164169</v>
      </c>
    </row>
    <row r="533" spans="1:7" x14ac:dyDescent="0.25">
      <c r="A533" t="s">
        <v>1098</v>
      </c>
      <c r="B533" t="s">
        <v>1099</v>
      </c>
      <c r="C533" t="str" cm="1">
        <f t="array" ref="C533">_xlfn.LET(
  _xlpm.text, B533,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533" t="str" cm="1">
        <f t="array" ref="D533">_xlfn.LET(
  _xlpm.text, B533,
  _xlpm.keywords, Category!$A$1:$A$100,
  _xlpm.matches, _xlfn._xlws.FILTER(_xlpm.keywords, ISNUMBER(SEARCH(_xlpm.keywords, _xlpm.text))),
  IF(COUNTA(_xlpm.matches) &gt; 0, INDEX(_xlpm.matches, 1), "")
)</f>
        <v>Thin Client</v>
      </c>
      <c r="E533" t="str" cm="1">
        <f t="array" ref="E533">_xlfn.LET(
  _xlpm.text, " " &amp; B533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33" t="str">
        <f t="shared" si="8"/>
        <v>https://www8.hp.com/h20195/v2/GetDocument.aspx?docname=c08409082</v>
      </c>
    </row>
    <row r="534" spans="1:7" x14ac:dyDescent="0.25">
      <c r="A534" t="s">
        <v>1100</v>
      </c>
      <c r="B534" t="s">
        <v>1101</v>
      </c>
      <c r="C534" t="s">
        <v>41</v>
      </c>
      <c r="D534" t="s">
        <v>21</v>
      </c>
      <c r="E534" t="str" cm="1">
        <f t="array" ref="E534">_xlfn.LET(
  _xlpm.text, " " &amp; B534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534" t="str">
        <f t="shared" si="8"/>
        <v>https://www8.hp.com/h20195/v2/GetDocument.aspx?docname=c09053763</v>
      </c>
    </row>
    <row r="535" spans="1:7" x14ac:dyDescent="0.25">
      <c r="A535" t="s">
        <v>1102</v>
      </c>
      <c r="B535" t="s">
        <v>1103</v>
      </c>
      <c r="C535" t="s">
        <v>41</v>
      </c>
      <c r="D535" t="s">
        <v>21</v>
      </c>
      <c r="E535" t="str" cm="1">
        <f t="array" ref="E535">_xlfn.LET(
  _xlpm.text, " " &amp; B535 &amp; " ",
  _xlpm.keywords, GenList!$A$1:$A$100,
  _xlpm.paddedKeywords, " " &amp; _xlpm.keywords &amp; " ",
  _xlpm.matches, _xlfn._xlws.FILTER(_xlpm.keywords, ISNUMBER(SEARCH(_xlpm.paddedKeywords, _xlpm.text))),
  IFERROR(INDEX(_xlpm.matches, 1), "")
)</f>
        <v>G10</v>
      </c>
      <c r="G535" t="str">
        <f t="shared" si="8"/>
        <v>https://www8.hp.com/h20195/v2/GetDocument.aspx?docname=c09053764</v>
      </c>
    </row>
    <row r="536" spans="1:7" x14ac:dyDescent="0.25">
      <c r="A536" t="s">
        <v>1104</v>
      </c>
      <c r="B536" t="s">
        <v>1105</v>
      </c>
      <c r="C536" t="s">
        <v>20</v>
      </c>
      <c r="D536" t="s">
        <v>47</v>
      </c>
      <c r="E536" t="str" cm="1">
        <f t="array" ref="E536">_xlfn.LET(
  _xlpm.text, " " &amp; B536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G536" t="str">
        <f t="shared" si="8"/>
        <v>https://www8.hp.com/h20195/v2/GetDocument.aspx?docname=c06712909</v>
      </c>
    </row>
    <row r="537" spans="1:7" s="2" customFormat="1" x14ac:dyDescent="0.25">
      <c r="A537" s="2" t="s">
        <v>1172</v>
      </c>
      <c r="B537" s="2" t="s">
        <v>1173</v>
      </c>
      <c r="C537" s="2" t="s">
        <v>41</v>
      </c>
      <c r="D537" s="2" t="s">
        <v>1156</v>
      </c>
      <c r="E537" s="2" t="str" cm="1">
        <f t="array" ref="E537">_xlfn.LET(
  _xlpm.text, " " &amp; B537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37" s="2" t="s">
        <v>9</v>
      </c>
      <c r="G537" s="2" t="str">
        <f>_xlfn.CONCAT("https://www8.hp.com/h20195/v2/GetDocument.aspx?docname=",A537)</f>
        <v>https://www8.hp.com/h20195/v2/GetDocument.aspx?docname=c04276879</v>
      </c>
    </row>
    <row r="538" spans="1:7" x14ac:dyDescent="0.25">
      <c r="A538" t="s">
        <v>1174</v>
      </c>
      <c r="B538" t="s">
        <v>1175</v>
      </c>
      <c r="C538" s="2" t="s">
        <v>41</v>
      </c>
      <c r="D538" s="2" t="s">
        <v>1156</v>
      </c>
      <c r="E538" s="2" t="str" cm="1">
        <f t="array" ref="E538">_xlfn.LET(
  _xlpm.text, " " &amp; B538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38" s="2" t="s">
        <v>9</v>
      </c>
      <c r="G538" s="2" t="str">
        <f t="shared" ref="G538:G597" si="9">_xlfn.CONCAT("https://www8.hp.com/h20195/v2/GetDocument.aspx?docname=",A538)</f>
        <v>https://www8.hp.com/h20195/v2/GetDocument.aspx?docname=c04329644</v>
      </c>
    </row>
    <row r="539" spans="1:7" x14ac:dyDescent="0.25">
      <c r="A539" t="s">
        <v>1176</v>
      </c>
      <c r="B539" t="s">
        <v>1177</v>
      </c>
      <c r="C539" s="2" t="str" cm="1">
        <f t="array" ref="C539">_xlfn.LET(
  _xlpm.text, B539,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39" s="2" t="str" cm="1">
        <f t="array" ref="D539">_xlfn.LET(
  _xlpm.text, B539,
  _xlpm.keywords, Category!$A$1:$A$100,
  _xlpm.matches, _xlfn._xlws.FILTER(_xlpm.keywords, ISNUMBER(SEARCH(_xlpm.keywords, _xlpm.text))),
  IF(COUNTA(_xlpm.matches) &gt; 0, INDEX(_xlpm.matches, 1), "")
)</f>
        <v>ProBook</v>
      </c>
      <c r="E539" s="2" t="str" cm="1">
        <f t="array" ref="E539">_xlfn.LET(
  _xlpm.text, " " &amp; B539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39" s="2" t="s">
        <v>9</v>
      </c>
      <c r="G539" s="2" t="str">
        <f t="shared" si="9"/>
        <v>https://www8.hp.com/h20195/v2/GetDocument.aspx?docname=c04333719</v>
      </c>
    </row>
    <row r="540" spans="1:7" x14ac:dyDescent="0.25">
      <c r="A540" t="s">
        <v>1178</v>
      </c>
      <c r="B540" t="s">
        <v>1179</v>
      </c>
      <c r="C540" s="2" t="str" cm="1">
        <f t="array" ref="C540">_xlfn.LET(
  _xlpm.text, B540,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40" s="2" t="str" cm="1">
        <f t="array" ref="D540">_xlfn.LET(
  _xlpm.text, B540,
  _xlpm.keywords, Category!$A$1:$A$100,
  _xlpm.matches, _xlfn._xlws.FILTER(_xlpm.keywords, ISNUMBER(SEARCH(_xlpm.keywords, _xlpm.text))),
  IF(COUNTA(_xlpm.matches) &gt; 0, INDEX(_xlpm.matches, 1), "")
)</f>
        <v>ChromeBook</v>
      </c>
      <c r="E540" s="2" t="str" cm="1">
        <f t="array" ref="E540">_xlfn.LET(
  _xlpm.text, " " &amp; B540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40" s="2" t="s">
        <v>9</v>
      </c>
      <c r="G540" s="2" t="str">
        <f t="shared" si="9"/>
        <v>https://www8.hp.com/h20195/v2/GetDocument.aspx?docname=c04363469</v>
      </c>
    </row>
    <row r="541" spans="1:7" x14ac:dyDescent="0.25">
      <c r="A541" t="s">
        <v>1180</v>
      </c>
      <c r="B541" t="s">
        <v>1181</v>
      </c>
      <c r="C541" s="2" t="str" cm="1">
        <f t="array" ref="C541">_xlfn.LET(
  _xlpm.text, B541,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41" s="2" t="str" cm="1">
        <f t="array" ref="D541">_xlfn.LET(
  _xlpm.text, B541,
  _xlpm.keywords, Category!$A$1:$A$100,
  _xlpm.matches, _xlfn._xlws.FILTER(_xlpm.keywords, ISNUMBER(SEARCH(_xlpm.keywords, _xlpm.text))),
  IF(COUNTA(_xlpm.matches) &gt; 0, INDEX(_xlpm.matches, 1), "")
)</f>
        <v>EliteDesk</v>
      </c>
      <c r="E541" s="2" t="str" cm="1">
        <f t="array" ref="E541">_xlfn.LET(
  _xlpm.text, " " &amp; B541 &amp; " ",
  _xlpm.keywords, GenList!$A$1:$A$100,
  _xlpm.paddedKeywords, " " &amp; _xlpm.keywords &amp; " ",
  _xlpm.matches, _xlfn._xlws.FILTER(_xlpm.keywords, ISNUMBER(SEARCH(_xlpm.paddedKeywords, _xlpm.text))),
  IFERROR(INDEX(_xlpm.matches, 1), "")
)</f>
        <v>G1</v>
      </c>
      <c r="F541" s="2" t="s">
        <v>9</v>
      </c>
      <c r="G541" s="2" t="str">
        <f t="shared" si="9"/>
        <v>https://www8.hp.com/h20195/v2/GetDocument.aspx?docname=c04382807</v>
      </c>
    </row>
    <row r="542" spans="1:7" x14ac:dyDescent="0.25">
      <c r="A542" t="s">
        <v>1182</v>
      </c>
      <c r="B542" t="s">
        <v>1183</v>
      </c>
      <c r="C542" s="2" t="s">
        <v>20</v>
      </c>
      <c r="D542" s="2" t="s">
        <v>21</v>
      </c>
      <c r="E542" s="2" t="str" cm="1">
        <f t="array" ref="E542">_xlfn.LET(
  _xlpm.text, " " &amp; B542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542" s="2"/>
      <c r="G542" s="2" t="str">
        <f t="shared" si="9"/>
        <v>https://www8.hp.com/h20195/v2/GetDocument.aspx?docname=c06441591</v>
      </c>
    </row>
    <row r="543" spans="1:7" x14ac:dyDescent="0.25">
      <c r="A543" t="s">
        <v>1184</v>
      </c>
      <c r="B543" t="s">
        <v>1185</v>
      </c>
      <c r="C543" s="2" t="s">
        <v>20</v>
      </c>
      <c r="D543" s="2" t="s">
        <v>21</v>
      </c>
      <c r="E543" s="2" t="str" cm="1">
        <f t="array" ref="E543">_xlfn.LET(
  _xlpm.text, " " &amp; B543 &amp; " ",
  _xlpm.keywords, GenList!$A$1:$A$100,
  _xlpm.paddedKeywords, " " &amp; _xlpm.keywords &amp; " ",
  _xlpm.matches, _xlfn._xlws.FILTER(_xlpm.keywords, ISNUMBER(SEARCH(_xlpm.paddedKeywords, _xlpm.text))),
  IFERROR(INDEX(_xlpm.matches, 1), "")
)</f>
        <v>G5</v>
      </c>
      <c r="F543" s="2"/>
      <c r="G543" s="2" t="str">
        <f t="shared" si="9"/>
        <v>https://www8.hp.com/h20195/v2/GetDocument.aspx?docname=c06441818</v>
      </c>
    </row>
    <row r="544" spans="1:7" x14ac:dyDescent="0.25">
      <c r="A544" t="s">
        <v>1186</v>
      </c>
      <c r="B544" t="s">
        <v>1187</v>
      </c>
      <c r="C544" s="2" t="s">
        <v>20</v>
      </c>
      <c r="D544" s="2" t="s">
        <v>21</v>
      </c>
      <c r="E544" s="2" t="str" cm="1">
        <f t="array" ref="E544">_xlfn.LET(
  _xlpm.text, " " &amp; B544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44" s="2"/>
      <c r="G544" s="2" t="str">
        <f t="shared" si="9"/>
        <v>https://www8.hp.com/h20195/v2/GetDocument.aspx?docname=c06469473</v>
      </c>
    </row>
    <row r="545" spans="1:7" x14ac:dyDescent="0.25">
      <c r="A545" t="s">
        <v>1188</v>
      </c>
      <c r="B545" t="s">
        <v>1189</v>
      </c>
      <c r="C545" s="2" t="s">
        <v>20</v>
      </c>
      <c r="D545" s="2" t="s">
        <v>21</v>
      </c>
      <c r="E545" s="2" t="str" cm="1">
        <f t="array" ref="E545">_xlfn.LET(
  _xlpm.text, " " &amp; B545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545" s="2"/>
      <c r="G545" s="2" t="str">
        <f t="shared" si="9"/>
        <v>https://www8.hp.com/h20195/v2/GetDocument.aspx?docname=c06469528</v>
      </c>
    </row>
    <row r="546" spans="1:7" x14ac:dyDescent="0.25">
      <c r="A546" t="s">
        <v>1190</v>
      </c>
      <c r="B546" t="s">
        <v>1191</v>
      </c>
      <c r="C546" s="2" t="s">
        <v>20</v>
      </c>
      <c r="D546" s="2" t="s">
        <v>21</v>
      </c>
      <c r="E546" s="2" t="str" cm="1">
        <f t="array" ref="E546">_xlfn.LET(
  _xlpm.text, " " &amp; B546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46" s="2"/>
      <c r="G546" s="2" t="str">
        <f t="shared" si="9"/>
        <v>https://www8.hp.com/h20195/v2/GetDocument.aspx?docname=c06590382</v>
      </c>
    </row>
    <row r="547" spans="1:7" x14ac:dyDescent="0.25">
      <c r="A547" t="s">
        <v>1192</v>
      </c>
      <c r="B547" t="s">
        <v>1193</v>
      </c>
      <c r="C547" s="2" t="s">
        <v>20</v>
      </c>
      <c r="D547" s="2" t="s">
        <v>21</v>
      </c>
      <c r="E547" s="2" t="str" cm="1">
        <f t="array" ref="E547">_xlfn.LET(
  _xlpm.text, " " &amp; B547 &amp; " ",
  _xlpm.keywords, GenList!$A$1:$A$100,
  _xlpm.paddedKeywords, " " &amp; _xlpm.keywords &amp; " ",
  _xlpm.matches, _xlfn._xlws.FILTER(_xlpm.keywords, ISNUMBER(SEARCH(_xlpm.paddedKeywords, _xlpm.text))),
  IFERROR(INDEX(_xlpm.matches, 1), "")
)</f>
        <v>G4</v>
      </c>
      <c r="F547" s="2"/>
      <c r="G547" s="2" t="str">
        <f t="shared" si="9"/>
        <v>https://www8.hp.com/h20195/v2/GetDocument.aspx?docname=c06590421</v>
      </c>
    </row>
    <row r="548" spans="1:7" x14ac:dyDescent="0.25">
      <c r="A548" t="s">
        <v>1194</v>
      </c>
      <c r="B548" t="s">
        <v>1195</v>
      </c>
      <c r="C548" s="2" t="str" cm="1">
        <f t="array" ref="C548">_xlfn.LET(
  _xlpm.text, B548,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48" s="2" t="str" cm="1">
        <f t="array" ref="D548">_xlfn.LET(
  _xlpm.text, B548,
  _xlpm.keywords, Category!$A$1:$A$100,
  _xlpm.matches, _xlfn._xlws.FILTER(_xlpm.keywords, ISNUMBER(SEARCH(_xlpm.keywords, _xlpm.text))),
  IF(COUNTA(_xlpm.matches) &gt; 0, INDEX(_xlpm.matches, 1), "")
)</f>
        <v>ProDesk</v>
      </c>
      <c r="E548" s="2" t="str" cm="1">
        <f t="array" ref="E548">_xlfn.LET(
  _xlpm.text, " " &amp; B548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48" s="2"/>
      <c r="G548" s="2" t="str">
        <f t="shared" si="9"/>
        <v>https://www8.hp.com/h20195/v2/GetDocument.aspx?docname=c06711651</v>
      </c>
    </row>
    <row r="549" spans="1:7" x14ac:dyDescent="0.25">
      <c r="A549" t="s">
        <v>1196</v>
      </c>
      <c r="B549" t="s">
        <v>1197</v>
      </c>
      <c r="C549" s="2" t="s">
        <v>20</v>
      </c>
      <c r="D549" s="2" t="s">
        <v>275</v>
      </c>
      <c r="E549" s="2" t="str" cm="1">
        <f t="array" ref="E549">_xlfn.LET(
  _xlpm.text, " " &amp; B549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49" s="2" t="s">
        <v>9</v>
      </c>
      <c r="G549" s="2" t="str">
        <f t="shared" si="9"/>
        <v>https://www8.hp.com/h20195/v2/GetDocument.aspx?docname=c06718495</v>
      </c>
    </row>
    <row r="550" spans="1:7" x14ac:dyDescent="0.25">
      <c r="A550" t="s">
        <v>1198</v>
      </c>
      <c r="B550" t="s">
        <v>1199</v>
      </c>
      <c r="C550" s="2" t="str" cm="1">
        <f t="array" ref="C550">_xlfn.LET(
  _xlpm.text, B550,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0" s="2" t="str" cm="1">
        <f t="array" ref="D550">_xlfn.LET(
  _xlpm.text, B550,
  _xlpm.keywords, Category!$A$1:$A$100,
  _xlpm.matches, _xlfn._xlws.FILTER(_xlpm.keywords, ISNUMBER(SEARCH(_xlpm.keywords, _xlpm.text))),
  IF(COUNTA(_xlpm.matches) &gt; 0, INDEX(_xlpm.matches, 1), "")
)</f>
        <v>EliteDesk</v>
      </c>
      <c r="E550" s="2" t="str" cm="1">
        <f t="array" ref="E550">_xlfn.LET(
  _xlpm.text, " " &amp; B550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50" s="2"/>
      <c r="G550" s="2" t="str">
        <f t="shared" si="9"/>
        <v>https://www8.hp.com/h20195/v2/GetDocument.aspx?docname=c06718498</v>
      </c>
    </row>
    <row r="551" spans="1:7" x14ac:dyDescent="0.25">
      <c r="A551" t="s">
        <v>1200</v>
      </c>
      <c r="B551" t="s">
        <v>1201</v>
      </c>
      <c r="C551" s="2" t="str" cm="1">
        <f t="array" ref="C551">_xlfn.LET(
  _xlpm.text, B551,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1" s="2" t="str" cm="1">
        <f t="array" ref="D551">_xlfn.LET(
  _xlpm.text, B551,
  _xlpm.keywords, Category!$A$1:$A$100,
  _xlpm.matches, _xlfn._xlws.FILTER(_xlpm.keywords, ISNUMBER(SEARCH(_xlpm.keywords, _xlpm.text))),
  IF(COUNTA(_xlpm.matches) &gt; 0, INDEX(_xlpm.matches, 1), "")
)</f>
        <v>Chromebox</v>
      </c>
      <c r="E551" s="2" t="str" cm="1">
        <f t="array" ref="E551">_xlfn.LET(
  _xlpm.text, " " &amp; B551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551" s="2"/>
      <c r="G551" s="2" t="str">
        <f t="shared" si="9"/>
        <v>https://www8.hp.com/h20195/v2/GetDocument.aspx?docname=c06724395</v>
      </c>
    </row>
    <row r="552" spans="1:7" x14ac:dyDescent="0.25">
      <c r="A552" t="s">
        <v>1160</v>
      </c>
      <c r="B552" t="s">
        <v>1161</v>
      </c>
      <c r="C552" s="2" t="str" cm="1">
        <f t="array" ref="C552">_xlfn.LET(
  _xlpm.text, B552,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2" s="2" t="str" cm="1">
        <f t="array" ref="D552">_xlfn.LET(
  _xlpm.text, B552,
  _xlpm.keywords, Category!$A$1:$A$100,
  _xlpm.matches, _xlfn._xlws.FILTER(_xlpm.keywords, ISNUMBER(SEARCH(_xlpm.keywords, _xlpm.text))),
  IF(COUNTA(_xlpm.matches) &gt; 0, INDEX(_xlpm.matches, 1), "")
)</f>
        <v>Chromebox</v>
      </c>
      <c r="E552" s="2" t="str" cm="1">
        <f t="array" ref="E552">_xlfn.LET(
  _xlpm.text, " " &amp; B552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552" s="2"/>
      <c r="G552" s="2" t="str">
        <f t="shared" si="9"/>
        <v>https://www8.hp.com/h20195/v2/GetDocument.aspx?docname=c06724396</v>
      </c>
    </row>
    <row r="553" spans="1:7" x14ac:dyDescent="0.25">
      <c r="A553" t="s">
        <v>1202</v>
      </c>
      <c r="B553" t="s">
        <v>1203</v>
      </c>
      <c r="C553" s="2" t="s">
        <v>20</v>
      </c>
      <c r="D553" s="2" t="s">
        <v>275</v>
      </c>
      <c r="E553" s="2" t="str" cm="1">
        <f t="array" ref="E553">_xlfn.LET(
  _xlpm.text, " " &amp; B553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53" s="2" t="s">
        <v>9</v>
      </c>
      <c r="G553" s="2" t="str">
        <f t="shared" si="9"/>
        <v>https://www8.hp.com/h20195/v2/GetDocument.aspx?docname=c06887165</v>
      </c>
    </row>
    <row r="554" spans="1:7" x14ac:dyDescent="0.25">
      <c r="A554" t="s">
        <v>1204</v>
      </c>
      <c r="B554" t="s">
        <v>1205</v>
      </c>
      <c r="C554" s="2" t="str" cm="1">
        <f t="array" ref="C554">_xlfn.LET(
  _xlpm.text, B554,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4" s="2" t="str" cm="1">
        <f t="array" ref="D554">_xlfn.LET(
  _xlpm.text, B554,
  _xlpm.keywords, Category!$A$1:$A$100,
  _xlpm.matches, _xlfn._xlws.FILTER(_xlpm.keywords, ISNUMBER(SEARCH(_xlpm.keywords, _xlpm.text))),
  IF(COUNTA(_xlpm.matches) &gt; 0, INDEX(_xlpm.matches, 1), "")
)</f>
        <v>Desktop</v>
      </c>
      <c r="E554" s="2" t="str" cm="1">
        <f t="array" ref="E554">_xlfn.LET(
  _xlpm.text, " " &amp; B554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54" s="2"/>
      <c r="G554" s="2" t="str">
        <f t="shared" si="9"/>
        <v>https://www8.hp.com/h20195/v2/GetDocument.aspx?docname=c06953089</v>
      </c>
    </row>
    <row r="555" spans="1:7" x14ac:dyDescent="0.25">
      <c r="A555" t="s">
        <v>1206</v>
      </c>
      <c r="B555" t="s">
        <v>1207</v>
      </c>
      <c r="C555" s="2" t="s">
        <v>20</v>
      </c>
      <c r="D555" s="2" t="s">
        <v>21</v>
      </c>
      <c r="E555" s="2" t="str" cm="1">
        <f t="array" ref="E555">_xlfn.LET(
  _xlpm.text, " " &amp; B555 &amp; " ",
  _xlpm.keywords, GenList!$A$1:$A$100,
  _xlpm.paddedKeywords, " " &amp; _xlpm.keywords &amp; " ",
  _xlpm.matches, _xlfn._xlws.FILTER(_xlpm.keywords, ISNUMBER(SEARCH(_xlpm.paddedKeywords, _xlpm.text))),
  IFERROR(INDEX(_xlpm.matches, 1), "")
)</f>
        <v>G8</v>
      </c>
      <c r="F555" s="2"/>
      <c r="G555" s="2" t="str">
        <f t="shared" si="9"/>
        <v>https://www8.hp.com/h20195/v2/GetDocument.aspx?docname=c07722482</v>
      </c>
    </row>
    <row r="556" spans="1:7" x14ac:dyDescent="0.25">
      <c r="A556" t="s">
        <v>1162</v>
      </c>
      <c r="B556" t="s">
        <v>1163</v>
      </c>
      <c r="C556" s="2" t="s">
        <v>20</v>
      </c>
      <c r="D556" s="2" t="s">
        <v>275</v>
      </c>
      <c r="E556" s="2" t="str" cm="1">
        <f t="array" ref="E556">_xlfn.LET(
  _xlpm.text, " " &amp; B556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56" s="2"/>
      <c r="G556" s="2" t="str">
        <f t="shared" si="9"/>
        <v>https://www8.hp.com/h20195/v2/GetDocument.aspx?docname=c08138298</v>
      </c>
    </row>
    <row r="557" spans="1:7" x14ac:dyDescent="0.25">
      <c r="A557" t="s">
        <v>1208</v>
      </c>
      <c r="B557" t="s">
        <v>268</v>
      </c>
      <c r="C557" s="2" t="str" cm="1">
        <f t="array" ref="C557">_xlfn.LET(
  _xlpm.text, B557,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7" s="2" t="str" cm="1">
        <f t="array" ref="D557">_xlfn.LET(
  _xlpm.text, B557,
  _xlpm.keywords, Category!$A$1:$A$100,
  _xlpm.matches, _xlfn._xlws.FILTER(_xlpm.keywords, ISNUMBER(SEARCH(_xlpm.keywords, _xlpm.text))),
  IF(COUNTA(_xlpm.matches) &gt; 0, INDEX(_xlpm.matches, 1), "")
)</f>
        <v>ProOne</v>
      </c>
      <c r="E557" s="2" t="str" cm="1">
        <f t="array" ref="E557">_xlfn.LET(
  _xlpm.text, " " &amp; B557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F557" s="2"/>
      <c r="G557" s="2" t="str">
        <f t="shared" si="9"/>
        <v>https://www8.hp.com/h20195/v2/GetDocument.aspx?docname=c08202581</v>
      </c>
    </row>
    <row r="558" spans="1:7" x14ac:dyDescent="0.25">
      <c r="A558" t="s">
        <v>1209</v>
      </c>
      <c r="B558" t="s">
        <v>268</v>
      </c>
      <c r="C558" s="2" t="str" cm="1">
        <f t="array" ref="C558">_xlfn.LET(
  _xlpm.text, B558,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8" s="2" t="str" cm="1">
        <f t="array" ref="D558">_xlfn.LET(
  _xlpm.text, B558,
  _xlpm.keywords, Category!$A$1:$A$100,
  _xlpm.matches, _xlfn._xlws.FILTER(_xlpm.keywords, ISNUMBER(SEARCH(_xlpm.keywords, _xlpm.text))),
  IF(COUNTA(_xlpm.matches) &gt; 0, INDEX(_xlpm.matches, 1), "")
)</f>
        <v>ProOne</v>
      </c>
      <c r="E558" s="2" t="str" cm="1">
        <f t="array" ref="E558">_xlfn.LET(
  _xlpm.text, " " &amp; B558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F558" s="2"/>
      <c r="G558" s="2" t="str">
        <f t="shared" si="9"/>
        <v>https://www8.hp.com/h20195/v2/GetDocument.aspx?docname=c08210038</v>
      </c>
    </row>
    <row r="559" spans="1:7" x14ac:dyDescent="0.25">
      <c r="A559" t="s">
        <v>1210</v>
      </c>
      <c r="B559" t="s">
        <v>1211</v>
      </c>
      <c r="C559" s="2" t="str" cm="1">
        <f t="array" ref="C559">_xlfn.LET(
  _xlpm.text, B559,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59" s="2" t="str" cm="1">
        <f t="array" ref="D559">_xlfn.LET(
  _xlpm.text, B559,
  _xlpm.keywords, Category!$A$1:$A$100,
  _xlpm.matches, _xlfn._xlws.FILTER(_xlpm.keywords, ISNUMBER(SEARCH(_xlpm.keywords, _xlpm.text))),
  IF(COUNTA(_xlpm.matches) &gt; 0, INDEX(_xlpm.matches, 1), "")
)</f>
        <v>Desktop</v>
      </c>
      <c r="E559" s="2" t="str" cm="1">
        <f t="array" ref="E559">_xlfn.LET(
  _xlpm.text, " " &amp; B559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59" s="2"/>
      <c r="G559" s="2" t="str">
        <f t="shared" si="9"/>
        <v>https://www8.hp.com/h20195/v2/GetDocument.aspx?docname=c08386706</v>
      </c>
    </row>
    <row r="560" spans="1:7" x14ac:dyDescent="0.25">
      <c r="A560" t="s">
        <v>1164</v>
      </c>
      <c r="B560" t="s">
        <v>1165</v>
      </c>
      <c r="C560" s="2" t="str" cm="1">
        <f t="array" ref="C560">_xlfn.LET(
  _xlpm.text, B560,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60" s="2" t="s">
        <v>28</v>
      </c>
      <c r="E560" s="2" t="str" cm="1">
        <f t="array" ref="E560">_xlfn.LET(
  _xlpm.text, " " &amp; B560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60" s="2" t="s">
        <v>9</v>
      </c>
      <c r="G560" s="2" t="str">
        <f t="shared" si="9"/>
        <v>https://www8.hp.com/h20195/v2/GetDocument.aspx?docname=c05574097</v>
      </c>
    </row>
    <row r="561" spans="1:7" x14ac:dyDescent="0.25">
      <c r="A561" t="s">
        <v>1212</v>
      </c>
      <c r="B561" t="s">
        <v>1213</v>
      </c>
      <c r="C561" s="2" t="str" cm="1">
        <f t="array" ref="C561">_xlfn.LET(
  _xlpm.text, B561,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61" s="2" t="s">
        <v>28</v>
      </c>
      <c r="E561" s="2" t="str" cm="1">
        <f t="array" ref="E561">_xlfn.LET(
  _xlpm.text, " " &amp; B561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61" s="2" t="s">
        <v>9</v>
      </c>
      <c r="G561" s="2" t="str">
        <f t="shared" si="9"/>
        <v>https://www8.hp.com/h20195/v2/GetDocument.aspx?docname=c05738162</v>
      </c>
    </row>
    <row r="562" spans="1:7" x14ac:dyDescent="0.25">
      <c r="A562" t="s">
        <v>1214</v>
      </c>
      <c r="B562" t="s">
        <v>1215</v>
      </c>
      <c r="C562" s="2" t="str" cm="1">
        <f t="array" ref="C562">_xlfn.LET(
  _xlpm.text, B562,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62" s="2" t="s">
        <v>28</v>
      </c>
      <c r="E562" s="2" t="str" cm="1">
        <f t="array" ref="E562">_xlfn.LET(
  _xlpm.text, " " &amp; B562 &amp; " ",
  _xlpm.keywords, GenList!$A$1:$A$100,
  _xlpm.paddedKeywords, " " &amp; _xlpm.keywords &amp; " ",
  _xlpm.matches, _xlfn._xlws.FILTER(_xlpm.keywords, ISNUMBER(SEARCH(_xlpm.paddedKeywords, _xlpm.text))),
  IFERROR(INDEX(_xlpm.matches, 1), "")
)</f>
        <v>G2</v>
      </c>
      <c r="F562" s="2" t="s">
        <v>9</v>
      </c>
      <c r="G562" s="2" t="str">
        <f t="shared" si="9"/>
        <v>https://www8.hp.com/h20195/v2/GetDocument.aspx?docname=c05738235</v>
      </c>
    </row>
    <row r="563" spans="1:7" x14ac:dyDescent="0.25">
      <c r="A563" t="s">
        <v>1109</v>
      </c>
      <c r="B563" t="s">
        <v>1110</v>
      </c>
      <c r="C563" s="2" cm="1">
        <f t="array" ref="C563">_xlfn.LET(
  _xlpm.text, B563,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0</v>
      </c>
      <c r="D563" s="2" cm="1">
        <f t="array" ref="D563">_xlfn.LET(
  _xlpm.text, B563,
  _xlpm.keywords, Category!$A$1:$A$100,
  _xlpm.matches, _xlfn._xlws.FILTER(_xlpm.keywords, ISNUMBER(SEARCH(_xlpm.keywords, _xlpm.text))),
  IF(COUNTA(_xlpm.matches) &gt; 0, INDEX(_xlpm.matches, 1), "")
)</f>
        <v>0</v>
      </c>
      <c r="E563" s="2" t="str" cm="1">
        <f t="array" ref="E563">_xlfn.LET(
  _xlpm.text, " " &amp; B563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63" s="2" t="s">
        <v>9</v>
      </c>
      <c r="G563" s="2" t="str">
        <f t="shared" si="9"/>
        <v>https://www8.hp.com/h20195/v2/GetDocument.aspx?docname=c05915532</v>
      </c>
    </row>
    <row r="564" spans="1:7" x14ac:dyDescent="0.25">
      <c r="A564" t="s">
        <v>1216</v>
      </c>
      <c r="B564" t="s">
        <v>1217</v>
      </c>
      <c r="C564" s="2" t="s">
        <v>20</v>
      </c>
      <c r="D564" s="2" t="s">
        <v>21</v>
      </c>
      <c r="E564" s="2" t="str" cm="1">
        <f t="array" ref="E564">_xlfn.LET(
  _xlpm.text, " " &amp; B564 &amp; " ",
  _xlpm.keywords, GenList!$A$1:$A$100,
  _xlpm.paddedKeywords, " " &amp; _xlpm.keywords &amp; " ",
  _xlpm.matches, _xlfn._xlws.FILTER(_xlpm.keywords, ISNUMBER(SEARCH(_xlpm.paddedKeywords, _xlpm.text))),
  IFERROR(INDEX(_xlpm.matches, 1), "")
)</f>
        <v>G3</v>
      </c>
      <c r="F564" s="2" t="s">
        <v>9</v>
      </c>
      <c r="G564" s="2" t="str">
        <f t="shared" si="9"/>
        <v>https://www8.hp.com/h20195/v2/GetDocument.aspx?docname=c05979335</v>
      </c>
    </row>
    <row r="565" spans="1:7" x14ac:dyDescent="0.25">
      <c r="A565" t="s">
        <v>1218</v>
      </c>
      <c r="B565" t="s">
        <v>1219</v>
      </c>
      <c r="C565" s="2" t="str" cm="1">
        <f t="array" ref="C565">_xlfn.LET(
  _xlpm.text, B565,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65" s="2" t="str" cm="1">
        <f t="array" ref="D565">_xlfn.LET(
  _xlpm.text, B565,
  _xlpm.keywords, Category!$A$1:$A$100,
  _xlpm.matches, _xlfn._xlws.FILTER(_xlpm.keywords, ISNUMBER(SEARCH(_xlpm.keywords, _xlpm.text))),
  IF(COUNTA(_xlpm.matches) &gt; 0, INDEX(_xlpm.matches, 1), "")
)</f>
        <v>ChromeBook</v>
      </c>
      <c r="E565" s="2" t="str" cm="1">
        <f t="array" ref="E565">_xlfn.LET(
  _xlpm.text, " " &amp; B565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65" s="2" t="s">
        <v>9</v>
      </c>
      <c r="G565" s="2" t="str">
        <f t="shared" si="9"/>
        <v>https://www8.hp.com/h20195/v2/GetDocument.aspx?docname=c06524352</v>
      </c>
    </row>
    <row r="566" spans="1:7" x14ac:dyDescent="0.25">
      <c r="A566" t="s">
        <v>1220</v>
      </c>
      <c r="B566" t="s">
        <v>1221</v>
      </c>
      <c r="C566" s="2" t="str" cm="1">
        <f t="array" ref="C566">_xlfn.LET(
  _xlpm.text, B566,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Notebooks</v>
      </c>
      <c r="D566" s="2" t="str" cm="1">
        <f t="array" ref="D566">_xlfn.LET(
  _xlpm.text, B566,
  _xlpm.keywords, Category!$A$1:$A$100,
  _xlpm.matches, _xlfn._xlws.FILTER(_xlpm.keywords, ISNUMBER(SEARCH(_xlpm.keywords, _xlpm.text))),
  IF(COUNTA(_xlpm.matches) &gt; 0, INDEX(_xlpm.matches, 1), "")
)</f>
        <v>ChromeBook</v>
      </c>
      <c r="E566" s="2" t="str" cm="1">
        <f t="array" ref="E566">_xlfn.LET(
  _xlpm.text, " " &amp; B566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66" s="2" t="s">
        <v>9</v>
      </c>
      <c r="G566" s="2" t="str">
        <f t="shared" si="9"/>
        <v>https://www8.hp.com/h20195/v2/GetDocument.aspx?docname=c06699548</v>
      </c>
    </row>
    <row r="567" spans="1:7" x14ac:dyDescent="0.25">
      <c r="A567" t="s">
        <v>1225</v>
      </c>
      <c r="B567" t="s">
        <v>1226</v>
      </c>
      <c r="C567" s="2" t="str" cm="1">
        <f t="array" ref="C567">_xlfn.LET(
  _xlpm.text, B567,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67" s="2" t="str" cm="1">
        <f t="array" ref="D567">_xlfn.LET(
  _xlpm.text, B567,
  _xlpm.keywords, Category!$A$1:$A$100,
  _xlpm.matches, _xlfn._xlws.FILTER(_xlpm.keywords, ISNUMBER(SEARCH(_xlpm.keywords, _xlpm.text))),
  IF(COUNTA(_xlpm.matches) &gt; 0, INDEX(_xlpm.matches, 1), "")
)</f>
        <v>Engage</v>
      </c>
      <c r="E567" s="2" t="str" cm="1">
        <f t="array" ref="E567">_xlfn.LET(
  _xlpm.text, " " &amp; B567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67" s="2" t="s">
        <v>9</v>
      </c>
      <c r="G567" s="2" t="str">
        <f t="shared" si="9"/>
        <v>https://www8.hp.com/h20195/v2/GetDocument.aspx?docname=4aa7-4692eep</v>
      </c>
    </row>
    <row r="568" spans="1:7" x14ac:dyDescent="0.25">
      <c r="A568" t="s">
        <v>1227</v>
      </c>
      <c r="B568" t="s">
        <v>1228</v>
      </c>
      <c r="C568" s="2" t="s">
        <v>20</v>
      </c>
      <c r="D568" s="2" t="s">
        <v>47</v>
      </c>
      <c r="E568" s="2" t="str" cm="1">
        <f t="array" ref="E568">_xlfn.LET(
  _xlpm.text, " " &amp; B568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68" s="2"/>
      <c r="G568" s="2" t="str">
        <f t="shared" si="9"/>
        <v>https://www8.hp.com/h20195/v2/GetDocument.aspx?docname=c04375534</v>
      </c>
    </row>
    <row r="569" spans="1:7" x14ac:dyDescent="0.25">
      <c r="A569" t="s">
        <v>1168</v>
      </c>
      <c r="B569" t="s">
        <v>1169</v>
      </c>
      <c r="C569" s="2" t="s">
        <v>59</v>
      </c>
      <c r="D569" s="2" t="s">
        <v>47</v>
      </c>
      <c r="E569" s="2"/>
      <c r="F569" s="2"/>
      <c r="G569" s="2" t="str">
        <f t="shared" si="9"/>
        <v>https://www8.hp.com/h20195/v2/GetDocument.aspx?docname=c05810452</v>
      </c>
    </row>
    <row r="570" spans="1:7" x14ac:dyDescent="0.25">
      <c r="A570" t="s">
        <v>1229</v>
      </c>
      <c r="B570" t="s">
        <v>1230</v>
      </c>
      <c r="C570" s="2" t="str" cm="1">
        <f t="array" ref="C570">_xlfn.LET(
  _xlpm.text, B570,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Displays</v>
      </c>
      <c r="D570" s="2" t="str" cm="1">
        <f t="array" ref="D570">_xlfn.LET(
  _xlpm.text, B570,
  _xlpm.keywords, Category!$A$1:$A$100,
  _xlpm.matches, _xlfn._xlws.FILTER(_xlpm.keywords, ISNUMBER(SEARCH(_xlpm.keywords, _xlpm.text))),
  IF(COUNTA(_xlpm.matches) &gt; 0, INDEX(_xlpm.matches, 1), "")
)</f>
        <v>Display</v>
      </c>
      <c r="E570" s="2" t="str" cm="1">
        <f t="array" ref="E570">_xlfn.LET(
  _xlpm.text, " " &amp; B570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70" s="2" t="s">
        <v>9</v>
      </c>
      <c r="G570" s="2" t="str">
        <f t="shared" si="9"/>
        <v>https://www8.hp.com/h20195/v2/GetDocument.aspx?docname=c06220106</v>
      </c>
    </row>
    <row r="571" spans="1:7" x14ac:dyDescent="0.25">
      <c r="A571" t="s">
        <v>1231</v>
      </c>
      <c r="B571" t="s">
        <v>1232</v>
      </c>
      <c r="C571" s="2" t="s">
        <v>20</v>
      </c>
      <c r="D571" s="2" t="s">
        <v>47</v>
      </c>
      <c r="E571" s="2" t="str" cm="1">
        <f t="array" ref="E571">_xlfn.LET(
  _xlpm.text, " " &amp; B571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71" s="2"/>
      <c r="G571" s="2" t="str">
        <f t="shared" si="9"/>
        <v>https://www8.hp.com/h20195/v2/GetDocument.aspx?docname=c06525676</v>
      </c>
    </row>
    <row r="572" spans="1:7" x14ac:dyDescent="0.25">
      <c r="A572" t="s">
        <v>1233</v>
      </c>
      <c r="B572" t="s">
        <v>1234</v>
      </c>
      <c r="C572" s="2" t="s">
        <v>20</v>
      </c>
      <c r="D572" s="2" t="s">
        <v>47</v>
      </c>
      <c r="E572" s="2" t="str" cm="1">
        <f t="array" ref="E572">_xlfn.LET(
  _xlpm.text, " " &amp; B572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72" s="2"/>
      <c r="G572" s="2" t="str">
        <f t="shared" si="9"/>
        <v>https://www8.hp.com/h20195/v2/GetDocument.aspx?docname=c06712735</v>
      </c>
    </row>
    <row r="573" spans="1:7" x14ac:dyDescent="0.25">
      <c r="A573" t="s">
        <v>1237</v>
      </c>
      <c r="B573" t="s">
        <v>1238</v>
      </c>
      <c r="C573" s="2" t="str" cm="1">
        <f t="array" ref="C573">_xlfn.LET(
  _xlpm.text, B573,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73" s="2" t="str" cm="1">
        <f t="array" ref="D573">_xlfn.LET(
  _xlpm.text, B573,
  _xlpm.keywords, Category!$A$1:$A$100,
  _xlpm.matches, _xlfn._xlws.FILTER(_xlpm.keywords, ISNUMBER(SEARCH(_xlpm.keywords, _xlpm.text))),
  IF(COUNTA(_xlpm.matches) &gt; 0, INDEX(_xlpm.matches, 1), "")
)</f>
        <v>Desktop</v>
      </c>
      <c r="E573" s="2" t="str" cm="1">
        <f t="array" ref="E573">_xlfn.LET(
  _xlpm.text, " " &amp; B573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73" s="2"/>
      <c r="G573" s="2" t="str">
        <f t="shared" si="9"/>
        <v>https://www8.hp.com/h20195/v2/GetDocument.aspx?docname=c06953090</v>
      </c>
    </row>
    <row r="574" spans="1:7" x14ac:dyDescent="0.25">
      <c r="A574" t="s">
        <v>1239</v>
      </c>
      <c r="B574" t="s">
        <v>1240</v>
      </c>
      <c r="C574" s="2" t="s">
        <v>20</v>
      </c>
      <c r="D574" s="2" t="s">
        <v>47</v>
      </c>
      <c r="E574" s="2"/>
      <c r="F574" s="2"/>
      <c r="G574" s="2" t="str">
        <f t="shared" si="9"/>
        <v>https://www8.hp.com/h20195/v2/GetDocument.aspx?docname=c06953446</v>
      </c>
    </row>
    <row r="575" spans="1:7" x14ac:dyDescent="0.25">
      <c r="A575" t="s">
        <v>1241</v>
      </c>
      <c r="B575" t="s">
        <v>1242</v>
      </c>
      <c r="C575" s="2" t="str" cm="1">
        <f t="array" ref="C575">_xlfn.LET(
  _xlpm.text, B575,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75" s="2" t="str" cm="1">
        <f t="array" ref="D575">_xlfn.LET(
  _xlpm.text, B575,
  _xlpm.keywords, Category!$A$1:$A$100,
  _xlpm.matches, _xlfn._xlws.FILTER(_xlpm.keywords, ISNUMBER(SEARCH(_xlpm.keywords, _xlpm.text))),
  IF(COUNTA(_xlpm.matches) &gt; 0, INDEX(_xlpm.matches, 1), "")
)</f>
        <v>ProOne</v>
      </c>
      <c r="E575" s="2" t="str" cm="1">
        <f t="array" ref="E575">_xlfn.LET(
  _xlpm.text, " " &amp; B575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75" s="2"/>
      <c r="G575" s="2" t="str">
        <f t="shared" si="9"/>
        <v>https://www8.hp.com/h20195/v2/GetDocument.aspx?docname=c06953447</v>
      </c>
    </row>
    <row r="576" spans="1:7" x14ac:dyDescent="0.25">
      <c r="A576" t="s">
        <v>1243</v>
      </c>
      <c r="B576" t="s">
        <v>1244</v>
      </c>
      <c r="C576" s="2" t="str" cm="1">
        <f t="array" ref="C576">_xlfn.LET(
  _xlpm.text, B576,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Desktops</v>
      </c>
      <c r="D576" s="2" t="str" cm="1">
        <f t="array" ref="D576">_xlfn.LET(
  _xlpm.text, B576,
  _xlpm.keywords, Category!$A$1:$A$100,
  _xlpm.matches, _xlfn._xlws.FILTER(_xlpm.keywords, ISNUMBER(SEARCH(_xlpm.keywords, _xlpm.text))),
  IF(COUNTA(_xlpm.matches) &gt; 0, INDEX(_xlpm.matches, 1), "")
)</f>
        <v>ProOne</v>
      </c>
      <c r="E576" s="2" t="str" cm="1">
        <f t="array" ref="E576">_xlfn.LET(
  _xlpm.text, " " &amp; B576 &amp; " ",
  _xlpm.keywords, GenList!$A$1:$A$100,
  _xlpm.paddedKeywords, " " &amp; _xlpm.keywords &amp; " ",
  _xlpm.matches, _xlfn._xlws.FILTER(_xlpm.keywords, ISNUMBER(SEARCH(_xlpm.paddedKeywords, _xlpm.text))),
  IFERROR(INDEX(_xlpm.matches, 1), "")
)</f>
        <v>G9</v>
      </c>
      <c r="F576" s="2"/>
      <c r="G576" s="2" t="str">
        <f t="shared" si="9"/>
        <v>https://www8.hp.com/h20195/v2/GetDocument.aspx?docname=c08331970</v>
      </c>
    </row>
    <row r="577" spans="1:7" x14ac:dyDescent="0.25">
      <c r="A577" t="s">
        <v>1245</v>
      </c>
      <c r="B577" t="s">
        <v>1246</v>
      </c>
      <c r="C577" s="2" t="s">
        <v>20</v>
      </c>
      <c r="D577" s="2" t="s">
        <v>275</v>
      </c>
      <c r="E577" s="2" t="str" cm="1">
        <f t="array" ref="E577">_xlfn.LET(
  _xlpm.text, " " &amp; B577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77" s="2" t="s">
        <v>9</v>
      </c>
      <c r="G577" s="2" t="str">
        <f t="shared" si="9"/>
        <v>https://www8.hp.com/h20195/v2/GetDocument.aspx?docname=c08376464</v>
      </c>
    </row>
    <row r="578" spans="1:7" x14ac:dyDescent="0.25">
      <c r="A578" t="s">
        <v>1247</v>
      </c>
      <c r="B578" t="s">
        <v>1248</v>
      </c>
      <c r="C578" s="2" t="str" cm="1">
        <f t="array" ref="C578">_xlfn.LET(
  _xlpm.text, B578,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578" s="2" t="str" cm="1">
        <f t="array" ref="D578">_xlfn.LET(
  _xlpm.text, B578,
  _xlpm.keywords, Category!$A$1:$A$100,
  _xlpm.matches, _xlfn._xlws.FILTER(_xlpm.keywords, ISNUMBER(SEARCH(_xlpm.keywords, _xlpm.text))),
  IF(COUNTA(_xlpm.matches) &gt; 0, INDEX(_xlpm.matches, 1), "")
)</f>
        <v>Dock</v>
      </c>
      <c r="E578" s="2" t="str" cm="1">
        <f t="array" ref="E578">_xlfn.LET(
  _xlpm.text, " " &amp; B578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78" s="2"/>
      <c r="G578" s="2" t="str">
        <f t="shared" si="9"/>
        <v>https://www8.hp.com/h20195/v2/GetDocument.aspx?docname=c09207707</v>
      </c>
    </row>
    <row r="579" spans="1:7" x14ac:dyDescent="0.25">
      <c r="A579" t="s">
        <v>1249</v>
      </c>
      <c r="B579" t="s">
        <v>1250</v>
      </c>
      <c r="C579" s="2" t="str" cm="1">
        <f t="array" ref="C579">_xlfn.LET(
  _xlpm.text, B579,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Docks</v>
      </c>
      <c r="D579" s="2" t="str" cm="1">
        <f t="array" ref="D579">_xlfn.LET(
  _xlpm.text, B579,
  _xlpm.keywords, Category!$A$1:$A$100,
  _xlpm.matches, _xlfn._xlws.FILTER(_xlpm.keywords, ISNUMBER(SEARCH(_xlpm.keywords, _xlpm.text))),
  IF(COUNTA(_xlpm.matches) &gt; 0, INDEX(_xlpm.matches, 1), "")
)</f>
        <v>Dock</v>
      </c>
      <c r="E579" s="2" t="str" cm="1">
        <f t="array" ref="E579">_xlfn.LET(
  _xlpm.text, " " &amp; B579 &amp; " ",
  _xlpm.keywords, GenList!$A$1:$A$100,
  _xlpm.paddedKeywords, " " &amp; _xlpm.keywords &amp; " ",
  _xlpm.matches, _xlfn._xlws.FILTER(_xlpm.keywords, ISNUMBER(SEARCH(_xlpm.paddedKeywords, _xlpm.text))),
  IFERROR(INDEX(_xlpm.matches, 1), "")
)</f>
        <v>G6</v>
      </c>
      <c r="F579" s="2"/>
      <c r="G579" s="2" t="str">
        <f t="shared" si="9"/>
        <v>https://www8.hp.com/h20195/v2/GetDocument.aspx?docname=c09207708</v>
      </c>
    </row>
    <row r="580" spans="1:7" x14ac:dyDescent="0.25">
      <c r="A580" t="s">
        <v>1166</v>
      </c>
      <c r="B580" t="s">
        <v>1167</v>
      </c>
      <c r="C580" s="2" t="s">
        <v>20</v>
      </c>
      <c r="D580" s="2" t="s">
        <v>275</v>
      </c>
      <c r="E580" s="2" t="str" cm="1">
        <f t="array" ref="E580">_xlfn.LET(
  _xlpm.text, " " &amp; B580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0" s="2" t="s">
        <v>9</v>
      </c>
      <c r="G580" s="2" t="str">
        <f t="shared" si="9"/>
        <v>https://www8.hp.com/h20195/v2/GetDocument.aspx?docname=c04558374</v>
      </c>
    </row>
    <row r="581" spans="1:7" x14ac:dyDescent="0.25">
      <c r="A581" t="s">
        <v>1251</v>
      </c>
      <c r="B581" t="s">
        <v>1252</v>
      </c>
      <c r="C581" s="2" t="str" cm="1">
        <f t="array" ref="C581">_xlfn.LET(
  _xlpm.text, B581,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1" s="2" t="s">
        <v>608</v>
      </c>
      <c r="E581" s="2" t="str" cm="1">
        <f t="array" ref="E581">_xlfn.LET(
  _xlpm.text, " " &amp; B581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1" s="2"/>
      <c r="G581" s="2" t="str">
        <f t="shared" si="9"/>
        <v>https://www8.hp.com/h20195/v2/GetDocument.aspx?docname=c05573122</v>
      </c>
    </row>
    <row r="582" spans="1:7" x14ac:dyDescent="0.25">
      <c r="A582" t="s">
        <v>1111</v>
      </c>
      <c r="B582" t="s">
        <v>1112</v>
      </c>
      <c r="C582" s="2" t="s">
        <v>156</v>
      </c>
      <c r="D582" s="2" t="s">
        <v>1149</v>
      </c>
      <c r="E582" s="2" t="str" cm="1">
        <f t="array" ref="E582">_xlfn.LET(
  _xlpm.text, " " &amp; B582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2" s="2"/>
      <c r="G582" s="2" t="str">
        <f>_xlfn.CONCAT("https://www8.hp.com/h20195/v2/GetDocument.aspx?docname=",A582)</f>
        <v>https://www8.hp.com/h20195/v2/GetDocument.aspx?docname=c06496220</v>
      </c>
    </row>
    <row r="583" spans="1:7" x14ac:dyDescent="0.25">
      <c r="A583" t="s">
        <v>1255</v>
      </c>
      <c r="B583" t="s">
        <v>1256</v>
      </c>
      <c r="C583" s="2" t="str" cm="1">
        <f t="array" ref="C583">_xlfn.LET(
  _xlpm.text, B583,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3" s="2" t="s">
        <v>608</v>
      </c>
      <c r="E583" s="2"/>
      <c r="F583" s="2"/>
      <c r="G583" s="2" t="str">
        <f t="shared" si="9"/>
        <v>https://www8.hp.com/h20195/v2/GetDocument.aspx?docname=c08371895</v>
      </c>
    </row>
    <row r="584" spans="1:7" x14ac:dyDescent="0.25">
      <c r="A584" t="s">
        <v>1258</v>
      </c>
      <c r="B584" t="s">
        <v>1259</v>
      </c>
      <c r="C584" s="2" t="str" cm="1">
        <f t="array" ref="C584">_xlfn.LET(
  _xlpm.text, B584,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4" s="2" t="str" cm="1">
        <f t="array" ref="D584">_xlfn.LET(
  _xlpm.text, B584,
  _xlpm.keywords, Category!$A$1:$A$100,
  _xlpm.matches, _xlfn._xlws.FILTER(_xlpm.keywords, ISNUMBER(SEARCH(_xlpm.keywords, _xlpm.text))),
  IF(COUNTA(_xlpm.matches) &gt; 0, INDEX(_xlpm.matches, 1), "")
)</f>
        <v>Scanner</v>
      </c>
      <c r="E584" s="2" t="str" cm="1">
        <f t="array" ref="E584">_xlfn.LET(
  _xlpm.text, " " &amp; B584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4" s="2"/>
      <c r="G584" s="2" t="str">
        <f t="shared" si="9"/>
        <v>https://www8.hp.com/h20195/v2/GetDocument.aspx?docname=c09002127</v>
      </c>
    </row>
    <row r="585" spans="1:7" x14ac:dyDescent="0.25">
      <c r="A585" t="s">
        <v>1260</v>
      </c>
      <c r="B585" t="s">
        <v>1261</v>
      </c>
      <c r="C585" s="2" t="str" cm="1">
        <f t="array" ref="C585">_xlfn.LET(
  _xlpm.text, B585,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5" s="2" t="str" cm="1">
        <f t="array" ref="D585">_xlfn.LET(
  _xlpm.text, B585,
  _xlpm.keywords, Category!$A$1:$A$100,
  _xlpm.matches, _xlfn._xlws.FILTER(_xlpm.keywords, ISNUMBER(SEARCH(_xlpm.keywords, _xlpm.text))),
  IF(COUNTA(_xlpm.matches) &gt; 0, INDEX(_xlpm.matches, 1), "")
)</f>
        <v>Printer</v>
      </c>
      <c r="E585" s="2" t="str" cm="1">
        <f t="array" ref="E585">_xlfn.LET(
  _xlpm.text, " " &amp; B585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5" s="2"/>
      <c r="G585" s="2" t="str">
        <f t="shared" si="9"/>
        <v>https://www8.hp.com/h20195/v2/GetDocument.aspx?docname=c09048284</v>
      </c>
    </row>
    <row r="586" spans="1:7" x14ac:dyDescent="0.25">
      <c r="A586" t="s">
        <v>1170</v>
      </c>
      <c r="B586" t="s">
        <v>1171</v>
      </c>
      <c r="C586" s="2" t="str" cm="1">
        <f t="array" ref="C586">_xlfn.LET(
  _xlpm.text, B586,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6" s="2" t="s">
        <v>1149</v>
      </c>
      <c r="E586" s="2" t="str" cm="1">
        <f t="array" ref="E586">_xlfn.LET(
  _xlpm.text, " " &amp; B586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6" s="2"/>
      <c r="G586" s="2" t="str">
        <f t="shared" si="9"/>
        <v>https://www8.hp.com/h20195/v2/GetDocument.aspx?docname=c09201687</v>
      </c>
    </row>
    <row r="587" spans="1:7" x14ac:dyDescent="0.25">
      <c r="A587" t="s">
        <v>1262</v>
      </c>
      <c r="B587" t="s">
        <v>1263</v>
      </c>
      <c r="C587" s="2" t="str" cm="1">
        <f t="array" ref="C587">_xlfn.LET(
  _xlpm.text, B587,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7" s="2" t="s">
        <v>1149</v>
      </c>
      <c r="E587" s="2" t="str" cm="1">
        <f t="array" ref="E587">_xlfn.LET(
  _xlpm.text, " " &amp; B587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7" s="2"/>
      <c r="G587" s="2" t="str">
        <f t="shared" si="9"/>
        <v>https://www8.hp.com/h20195/v2/GetDocument.aspx?docname=c09205360</v>
      </c>
    </row>
    <row r="588" spans="1:7" x14ac:dyDescent="0.25">
      <c r="A588" t="s">
        <v>1264</v>
      </c>
      <c r="B588" t="s">
        <v>1265</v>
      </c>
      <c r="C588" s="2" t="s">
        <v>156</v>
      </c>
      <c r="D588" s="2" t="s">
        <v>1149</v>
      </c>
      <c r="E588" s="2" t="str" cm="1">
        <f t="array" ref="E588">_xlfn.LET(
  _xlpm.text, " " &amp; B588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88" s="2"/>
      <c r="G588" s="2" t="str">
        <f t="shared" si="9"/>
        <v>https://www8.hp.com/h20195/v2/GetDocument.aspx?docname=c09205364</v>
      </c>
    </row>
    <row r="589" spans="1:7" x14ac:dyDescent="0.25">
      <c r="A589" t="s">
        <v>1266</v>
      </c>
      <c r="B589" t="s">
        <v>1267</v>
      </c>
      <c r="C589" s="2" t="str" cm="1">
        <f t="array" ref="C589">_xlfn.LET(
  _xlpm.text, B589,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RIS</v>
      </c>
      <c r="D589" s="2" t="s">
        <v>78</v>
      </c>
      <c r="E589" s="2"/>
      <c r="F589" s="2"/>
      <c r="G589" s="2" t="str">
        <f t="shared" si="9"/>
        <v>https://www8.hp.com/h20195/v2/GetDocument.aspx?docname=c09219425</v>
      </c>
    </row>
    <row r="590" spans="1:7" x14ac:dyDescent="0.25">
      <c r="A590" t="s">
        <v>1268</v>
      </c>
      <c r="B590" t="s">
        <v>1269</v>
      </c>
      <c r="C590" s="2" t="s">
        <v>156</v>
      </c>
      <c r="D590" s="2" t="s">
        <v>1149</v>
      </c>
      <c r="E590" s="2" t="str" cm="1">
        <f t="array" ref="E590">_xlfn.LET(
  _xlpm.text, " " &amp; B590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0" s="2"/>
      <c r="G590" s="2" t="str">
        <f t="shared" si="9"/>
        <v>https://www8.hp.com/h20195/v2/GetDocument.aspx?docname=c09220352</v>
      </c>
    </row>
    <row r="591" spans="1:7" x14ac:dyDescent="0.25">
      <c r="A591" t="s">
        <v>1270</v>
      </c>
      <c r="B591" t="s">
        <v>1271</v>
      </c>
      <c r="C591" s="2" t="str" cm="1">
        <f t="array" ref="C591">_xlfn.LET(
  _xlpm.text, B591,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591" s="2" t="s">
        <v>1151</v>
      </c>
      <c r="E591" s="2" t="str" cm="1">
        <f t="array" ref="E591">_xlfn.LET(
  _xlpm.text, " " &amp; B591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1" s="2"/>
      <c r="G591" s="2" t="str">
        <f t="shared" si="9"/>
        <v>https://www8.hp.com/h20195/v2/GetDocument.aspx?docname=c06936517</v>
      </c>
    </row>
    <row r="592" spans="1:7" x14ac:dyDescent="0.25">
      <c r="A592" t="s">
        <v>1272</v>
      </c>
      <c r="B592" t="s">
        <v>1273</v>
      </c>
      <c r="C592" s="2" t="str" cm="1">
        <f t="array" ref="C592">_xlfn.LET(
  _xlpm.text, B592,
  _xlpm.keywords, Category!$A$1:$A$100,
  _xlpm.values, Category!$B$1:$B$100,
  _xlpm.matches, ISNUMBER(SEARCH(_xlpm.keywords, _xlpm.text)),
  _xlpm.matchIndex, _xlfn.XMATCH(TRUE, _xlpm.matches, 0),
  IF(ISNUMBER(_xlpm.matchIndex), INDEX(_xlpm.values, _xlpm.matchIndex), "")
)</f>
        <v>Thin Clients</v>
      </c>
      <c r="D592" s="2" t="s">
        <v>1151</v>
      </c>
      <c r="E592" s="2" t="str" cm="1">
        <f t="array" ref="E592">_xlfn.LET(
  _xlpm.text, " " &amp; B592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2" s="2"/>
      <c r="G592" s="2" t="str">
        <f t="shared" si="9"/>
        <v>https://www8.hp.com/h20195/v2/GetDocument.aspx?docname=c06953710</v>
      </c>
    </row>
    <row r="593" spans="1:7" x14ac:dyDescent="0.25">
      <c r="A593" t="s">
        <v>1274</v>
      </c>
      <c r="B593" t="s">
        <v>1275</v>
      </c>
      <c r="C593" s="2" t="s">
        <v>789</v>
      </c>
      <c r="D593" s="2" t="s">
        <v>790</v>
      </c>
      <c r="E593" s="2" t="str" cm="1">
        <f t="array" ref="E593">_xlfn.LET(
  _xlpm.text, " " &amp; B593 &amp; " ",
  _xlpm.keywords, GenList!$A$1:$A$100,
  _xlpm.paddedKeywords, " " &amp; _xlpm.keywords &amp; " ",
  _xlpm.matches, _xlfn._xlws.FILTER(_xlpm.keywords, ISNUMBER(SEARCH(_xlpm.paddedKeywords, _xlpm.text))),
  IFERROR(INDEX(_xlpm.matches, 1), "")
)</f>
        <v>G1</v>
      </c>
      <c r="F593" s="2"/>
      <c r="G593" s="2" t="str">
        <f t="shared" si="9"/>
        <v>https://www8.hp.com/h20195/v2/GetDocument.aspx?docname=c09222532</v>
      </c>
    </row>
    <row r="594" spans="1:7" x14ac:dyDescent="0.25">
      <c r="A594" t="s">
        <v>1276</v>
      </c>
      <c r="B594" t="s">
        <v>1277</v>
      </c>
      <c r="C594" s="2" t="s">
        <v>59</v>
      </c>
      <c r="D594" s="2" t="s">
        <v>47</v>
      </c>
      <c r="E594" s="2" t="str" cm="1">
        <f t="array" ref="E594">_xlfn.LET(
  _xlpm.text, " " &amp; B594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4" s="2" t="s">
        <v>9</v>
      </c>
      <c r="G594" s="2" t="str">
        <f t="shared" si="9"/>
        <v>https://www8.hp.com/h20195/v2/GetDocument.aspx?docname=4aa7-7185enw</v>
      </c>
    </row>
    <row r="595" spans="1:7" x14ac:dyDescent="0.25">
      <c r="A595" t="s">
        <v>1278</v>
      </c>
      <c r="B595" t="s">
        <v>1279</v>
      </c>
      <c r="C595" s="2" t="s">
        <v>59</v>
      </c>
      <c r="D595" s="2" t="s">
        <v>47</v>
      </c>
      <c r="E595" s="2" t="str" cm="1">
        <f t="array" ref="E595">_xlfn.LET(
  _xlpm.text, " " &amp; B595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5" s="2" t="s">
        <v>9</v>
      </c>
      <c r="G595" s="2" t="str">
        <f t="shared" si="9"/>
        <v>https://www8.hp.com/h20195/v2/GetDocument.aspx?docname=4aa7-7186enw</v>
      </c>
    </row>
    <row r="596" spans="1:7" x14ac:dyDescent="0.25">
      <c r="A596" t="s">
        <v>1280</v>
      </c>
      <c r="B596" t="s">
        <v>1281</v>
      </c>
      <c r="C596" s="2" t="s">
        <v>59</v>
      </c>
      <c r="D596" s="2" t="s">
        <v>70</v>
      </c>
      <c r="E596" s="2"/>
      <c r="F596" s="2"/>
      <c r="G596" s="2" t="str">
        <f t="shared" si="9"/>
        <v>https://www8.hp.com/h20195/v2/GetDocument.aspx?docname=c06274598</v>
      </c>
    </row>
    <row r="597" spans="1:7" x14ac:dyDescent="0.25">
      <c r="A597" t="s">
        <v>1283</v>
      </c>
      <c r="B597" t="s">
        <v>1284</v>
      </c>
      <c r="C597" s="2" t="s">
        <v>59</v>
      </c>
      <c r="D597" s="2" t="s">
        <v>1159</v>
      </c>
      <c r="E597" s="2" t="str" cm="1">
        <f t="array" ref="E597">_xlfn.LET(
  _xlpm.text, " " &amp; B597 &amp; " ",
  _xlpm.keywords, GenList!$A$1:$A$100,
  _xlpm.paddedKeywords, " " &amp; _xlpm.keywords &amp; " ",
  _xlpm.matches, _xlfn._xlws.FILTER(_xlpm.keywords, ISNUMBER(SEARCH(_xlpm.paddedKeywords, _xlpm.text))),
  IFERROR(INDEX(_xlpm.matches, 1), "")
)</f>
        <v/>
      </c>
      <c r="F597" s="2"/>
      <c r="G597" s="2" t="str">
        <f t="shared" si="9"/>
        <v>https://www8.hp.com/h20195/v2/GetDocument.aspx?docname=c09212373</v>
      </c>
    </row>
  </sheetData>
  <autoFilter ref="A1:G597" xr:uid="{78150D6D-7D45-48D5-8B3A-7343EBFE63D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90941-9A5F-4597-9883-5A26D773CAAD}">
  <sheetPr filterMode="1">
    <tabColor theme="2"/>
  </sheetPr>
  <dimension ref="B1:E674"/>
  <sheetViews>
    <sheetView topLeftCell="A226" workbookViewId="0">
      <selection activeCell="C670" sqref="B142:C670"/>
    </sheetView>
  </sheetViews>
  <sheetFormatPr defaultRowHeight="15" x14ac:dyDescent="0.25"/>
  <cols>
    <col min="2" max="2" width="16.42578125" style="1" customWidth="1"/>
    <col min="3" max="3" width="42" style="1" customWidth="1"/>
  </cols>
  <sheetData>
    <row r="1" spans="2:5" x14ac:dyDescent="0.25">
      <c r="B1" t="s">
        <v>1152</v>
      </c>
      <c r="C1"/>
    </row>
    <row r="2" spans="2:5" x14ac:dyDescent="0.25">
      <c r="B2" t="s">
        <v>1106</v>
      </c>
      <c r="C2"/>
    </row>
    <row r="3" spans="2:5" x14ac:dyDescent="0.25">
      <c r="B3"/>
      <c r="C3"/>
    </row>
    <row r="4" spans="2:5" x14ac:dyDescent="0.25">
      <c r="B4" s="1" t="s">
        <v>1107</v>
      </c>
      <c r="E4" t="s">
        <v>1108</v>
      </c>
    </row>
    <row r="5" spans="2:5" hidden="1" x14ac:dyDescent="0.25">
      <c r="B5" t="s">
        <v>7</v>
      </c>
      <c r="C5" t="s">
        <v>8</v>
      </c>
      <c r="E5" t="str">
        <f>IF(COUNTIF(QuickSpecsList!A:A, B5) &gt; 0, "Yes", "No")</f>
        <v>Yes</v>
      </c>
    </row>
    <row r="6" spans="2:5" hidden="1" x14ac:dyDescent="0.25">
      <c r="B6" t="s">
        <v>10</v>
      </c>
      <c r="C6" t="s">
        <v>11</v>
      </c>
      <c r="E6" t="str">
        <f>IF(COUNTIF(QuickSpecsList!A:A, B6) &gt; 0, "Yes", "No")</f>
        <v>Yes</v>
      </c>
    </row>
    <row r="7" spans="2:5" hidden="1" x14ac:dyDescent="0.25">
      <c r="B7" t="s">
        <v>12</v>
      </c>
      <c r="C7" t="s">
        <v>13</v>
      </c>
      <c r="E7" t="str">
        <f>IF(COUNTIF(QuickSpecsList!A:A, B7) &gt; 0, "Yes", "No")</f>
        <v>Yes</v>
      </c>
    </row>
    <row r="8" spans="2:5" hidden="1" x14ac:dyDescent="0.25">
      <c r="B8" t="s">
        <v>14</v>
      </c>
      <c r="C8" t="s">
        <v>15</v>
      </c>
      <c r="E8" t="str">
        <f>IF(COUNTIF(QuickSpecsList!A:A, B8) &gt; 0, "Yes", "No")</f>
        <v>Yes</v>
      </c>
    </row>
    <row r="9" spans="2:5" hidden="1" x14ac:dyDescent="0.25">
      <c r="B9" t="s">
        <v>16</v>
      </c>
      <c r="C9" t="s">
        <v>17</v>
      </c>
      <c r="E9" t="str">
        <f>IF(COUNTIF(QuickSpecsList!A:A, B9) &gt; 0, "Yes", "No")</f>
        <v>Yes</v>
      </c>
    </row>
    <row r="10" spans="2:5" hidden="1" x14ac:dyDescent="0.25">
      <c r="B10" t="s">
        <v>18</v>
      </c>
      <c r="C10" t="s">
        <v>19</v>
      </c>
      <c r="E10" t="str">
        <f>IF(COUNTIF(QuickSpecsList!A:A, B10) &gt; 0, "Yes", "No")</f>
        <v>Yes</v>
      </c>
    </row>
    <row r="11" spans="2:5" hidden="1" x14ac:dyDescent="0.25">
      <c r="B11" t="s">
        <v>22</v>
      </c>
      <c r="C11" t="s">
        <v>23</v>
      </c>
      <c r="E11" t="str">
        <f>IF(COUNTIF(QuickSpecsList!A:A, B11) &gt; 0, "Yes", "No")</f>
        <v>Yes</v>
      </c>
    </row>
    <row r="12" spans="2:5" hidden="1" x14ac:dyDescent="0.25">
      <c r="B12" t="s">
        <v>24</v>
      </c>
      <c r="C12" t="s">
        <v>25</v>
      </c>
      <c r="E12" t="str">
        <f>IF(COUNTIF(QuickSpecsList!A:A, B12) &gt; 0, "Yes", "No")</f>
        <v>Yes</v>
      </c>
    </row>
    <row r="13" spans="2:5" hidden="1" x14ac:dyDescent="0.25">
      <c r="B13" t="s">
        <v>26</v>
      </c>
      <c r="C13" t="s">
        <v>27</v>
      </c>
      <c r="E13" t="str">
        <f>IF(COUNTIF(QuickSpecsList!A:A, B13) &gt; 0, "Yes", "No")</f>
        <v>Yes</v>
      </c>
    </row>
    <row r="14" spans="2:5" hidden="1" x14ac:dyDescent="0.25">
      <c r="B14" t="s">
        <v>31</v>
      </c>
      <c r="C14" t="s">
        <v>32</v>
      </c>
      <c r="E14" t="str">
        <f>IF(COUNTIF(QuickSpecsList!A:A, B14) &gt; 0, "Yes", "No")</f>
        <v>Yes</v>
      </c>
    </row>
    <row r="15" spans="2:5" hidden="1" x14ac:dyDescent="0.25">
      <c r="B15" t="s">
        <v>33</v>
      </c>
      <c r="C15" t="s">
        <v>34</v>
      </c>
      <c r="E15" t="str">
        <f>IF(COUNTIF(QuickSpecsList!A:A, B15) &gt; 0, "Yes", "No")</f>
        <v>Yes</v>
      </c>
    </row>
    <row r="16" spans="2:5" hidden="1" x14ac:dyDescent="0.25">
      <c r="B16" t="s">
        <v>35</v>
      </c>
      <c r="C16" t="s">
        <v>36</v>
      </c>
      <c r="E16" t="str">
        <f>IF(COUNTIF(QuickSpecsList!A:A, B16) &gt; 0, "Yes", "No")</f>
        <v>Yes</v>
      </c>
    </row>
    <row r="17" spans="2:5" hidden="1" x14ac:dyDescent="0.25">
      <c r="B17" t="s">
        <v>37</v>
      </c>
      <c r="C17" t="s">
        <v>38</v>
      </c>
      <c r="E17" t="str">
        <f>IF(COUNTIF(QuickSpecsList!A:A, B17) &gt; 0, "Yes", "No")</f>
        <v>Yes</v>
      </c>
    </row>
    <row r="18" spans="2:5" hidden="1" x14ac:dyDescent="0.25">
      <c r="B18" t="s">
        <v>39</v>
      </c>
      <c r="C18" t="s">
        <v>40</v>
      </c>
      <c r="E18" t="str">
        <f>IF(COUNTIF(QuickSpecsList!A:A, B18) &gt; 0, "Yes", "No")</f>
        <v>Yes</v>
      </c>
    </row>
    <row r="19" spans="2:5" hidden="1" x14ac:dyDescent="0.25">
      <c r="B19" t="s">
        <v>43</v>
      </c>
      <c r="C19" t="s">
        <v>44</v>
      </c>
      <c r="E19" t="str">
        <f>IF(COUNTIF(QuickSpecsList!A:A, B19) &gt; 0, "Yes", "No")</f>
        <v>Yes</v>
      </c>
    </row>
    <row r="20" spans="2:5" hidden="1" x14ac:dyDescent="0.25">
      <c r="B20" t="s">
        <v>60</v>
      </c>
      <c r="C20" t="s">
        <v>61</v>
      </c>
      <c r="E20" t="str">
        <f>IF(COUNTIF(QuickSpecsList!A:A, B20) &gt; 0, "Yes", "No")</f>
        <v>Yes</v>
      </c>
    </row>
    <row r="21" spans="2:5" hidden="1" x14ac:dyDescent="0.25">
      <c r="B21" t="s">
        <v>62</v>
      </c>
      <c r="C21" t="s">
        <v>63</v>
      </c>
      <c r="E21" t="str">
        <f>IF(COUNTIF(QuickSpecsList!A:A, B21) &gt; 0, "Yes", "No")</f>
        <v>Yes</v>
      </c>
    </row>
    <row r="22" spans="2:5" hidden="1" x14ac:dyDescent="0.25">
      <c r="B22" t="s">
        <v>64</v>
      </c>
      <c r="C22" t="s">
        <v>65</v>
      </c>
      <c r="E22" t="str">
        <f>IF(COUNTIF(QuickSpecsList!A:A, B22) &gt; 0, "Yes", "No")</f>
        <v>Yes</v>
      </c>
    </row>
    <row r="23" spans="2:5" hidden="1" x14ac:dyDescent="0.25">
      <c r="B23" t="s">
        <v>68</v>
      </c>
      <c r="C23" t="s">
        <v>69</v>
      </c>
      <c r="E23" t="str">
        <f>IF(COUNTIF(QuickSpecsList!A:A, B23) &gt; 0, "Yes", "No")</f>
        <v>Yes</v>
      </c>
    </row>
    <row r="24" spans="2:5" hidden="1" x14ac:dyDescent="0.25">
      <c r="B24" t="s">
        <v>71</v>
      </c>
      <c r="C24" t="s">
        <v>72</v>
      </c>
      <c r="E24" t="str">
        <f>IF(COUNTIF(QuickSpecsList!A:A, B24) &gt; 0, "Yes", "No")</f>
        <v>Yes</v>
      </c>
    </row>
    <row r="25" spans="2:5" hidden="1" x14ac:dyDescent="0.25">
      <c r="B25" t="s">
        <v>76</v>
      </c>
      <c r="C25" t="s">
        <v>77</v>
      </c>
      <c r="E25" t="str">
        <f>IF(COUNTIF(QuickSpecsList!A:A, B25) &gt; 0, "Yes", "No")</f>
        <v>Yes</v>
      </c>
    </row>
    <row r="26" spans="2:5" hidden="1" x14ac:dyDescent="0.25">
      <c r="B26" t="s">
        <v>79</v>
      </c>
      <c r="C26" t="s">
        <v>80</v>
      </c>
      <c r="E26" t="str">
        <f>IF(COUNTIF(QuickSpecsList!A:A, B26) &gt; 0, "Yes", "No")</f>
        <v>Yes</v>
      </c>
    </row>
    <row r="27" spans="2:5" hidden="1" x14ac:dyDescent="0.25">
      <c r="B27" t="s">
        <v>81</v>
      </c>
      <c r="C27" t="s">
        <v>82</v>
      </c>
      <c r="E27" t="str">
        <f>IF(COUNTIF(QuickSpecsList!A:A, B27) &gt; 0, "Yes", "No")</f>
        <v>Yes</v>
      </c>
    </row>
    <row r="28" spans="2:5" hidden="1" x14ac:dyDescent="0.25">
      <c r="B28" t="s">
        <v>83</v>
      </c>
      <c r="C28" t="s">
        <v>84</v>
      </c>
      <c r="E28" t="str">
        <f>IF(COUNTIF(QuickSpecsList!A:A, B28) &gt; 0, "Yes", "No")</f>
        <v>Yes</v>
      </c>
    </row>
    <row r="29" spans="2:5" hidden="1" x14ac:dyDescent="0.25">
      <c r="B29" t="s">
        <v>86</v>
      </c>
      <c r="C29" t="s">
        <v>87</v>
      </c>
      <c r="E29" t="str">
        <f>IF(COUNTIF(QuickSpecsList!A:A, B29) &gt; 0, "Yes", "No")</f>
        <v>Yes</v>
      </c>
    </row>
    <row r="30" spans="2:5" hidden="1" x14ac:dyDescent="0.25">
      <c r="B30" t="s">
        <v>90</v>
      </c>
      <c r="C30" t="s">
        <v>91</v>
      </c>
      <c r="E30" t="str">
        <f>IF(COUNTIF(QuickSpecsList!A:A, B30) &gt; 0, "Yes", "No")</f>
        <v>Yes</v>
      </c>
    </row>
    <row r="31" spans="2:5" hidden="1" x14ac:dyDescent="0.25">
      <c r="B31" t="s">
        <v>93</v>
      </c>
      <c r="C31" t="s">
        <v>94</v>
      </c>
      <c r="E31" t="str">
        <f>IF(COUNTIF(QuickSpecsList!A:A, B31) &gt; 0, "Yes", "No")</f>
        <v>Yes</v>
      </c>
    </row>
    <row r="32" spans="2:5" hidden="1" x14ac:dyDescent="0.25">
      <c r="B32" t="s">
        <v>96</v>
      </c>
      <c r="C32" t="s">
        <v>97</v>
      </c>
      <c r="E32" t="str">
        <f>IF(COUNTIF(QuickSpecsList!A:A, B32) &gt; 0, "Yes", "No")</f>
        <v>Yes</v>
      </c>
    </row>
    <row r="33" spans="2:5" hidden="1" x14ac:dyDescent="0.25">
      <c r="B33" t="s">
        <v>98</v>
      </c>
      <c r="C33" t="s">
        <v>99</v>
      </c>
      <c r="E33" t="str">
        <f>IF(COUNTIF(QuickSpecsList!A:A, B33) &gt; 0, "Yes", "No")</f>
        <v>Yes</v>
      </c>
    </row>
    <row r="34" spans="2:5" hidden="1" x14ac:dyDescent="0.25">
      <c r="B34" t="s">
        <v>100</v>
      </c>
      <c r="C34" t="s">
        <v>101</v>
      </c>
      <c r="E34" t="str">
        <f>IF(COUNTIF(QuickSpecsList!A:A, B34) &gt; 0, "Yes", "No")</f>
        <v>Yes</v>
      </c>
    </row>
    <row r="35" spans="2:5" hidden="1" x14ac:dyDescent="0.25">
      <c r="B35" t="s">
        <v>102</v>
      </c>
      <c r="C35" t="s">
        <v>103</v>
      </c>
      <c r="E35" t="str">
        <f>IF(COUNTIF(QuickSpecsList!A:A, B35) &gt; 0, "Yes", "No")</f>
        <v>Yes</v>
      </c>
    </row>
    <row r="36" spans="2:5" hidden="1" x14ac:dyDescent="0.25">
      <c r="B36" t="s">
        <v>104</v>
      </c>
      <c r="C36" t="s">
        <v>105</v>
      </c>
      <c r="E36" t="str">
        <f>IF(COUNTIF(QuickSpecsList!A:A, B36) &gt; 0, "Yes", "No")</f>
        <v>Yes</v>
      </c>
    </row>
    <row r="37" spans="2:5" hidden="1" x14ac:dyDescent="0.25">
      <c r="B37" t="s">
        <v>106</v>
      </c>
      <c r="C37" t="s">
        <v>107</v>
      </c>
      <c r="E37" t="str">
        <f>IF(COUNTIF(QuickSpecsList!A:A, B37) &gt; 0, "Yes", "No")</f>
        <v>Yes</v>
      </c>
    </row>
    <row r="38" spans="2:5" hidden="1" x14ac:dyDescent="0.25">
      <c r="B38" t="s">
        <v>109</v>
      </c>
      <c r="C38" t="s">
        <v>110</v>
      </c>
      <c r="E38" t="str">
        <f>IF(COUNTIF(QuickSpecsList!A:A, B38) &gt; 0, "Yes", "No")</f>
        <v>Yes</v>
      </c>
    </row>
    <row r="39" spans="2:5" hidden="1" x14ac:dyDescent="0.25">
      <c r="B39" t="s">
        <v>111</v>
      </c>
      <c r="C39" t="s">
        <v>112</v>
      </c>
      <c r="E39" t="str">
        <f>IF(COUNTIF(QuickSpecsList!A:A, B39) &gt; 0, "Yes", "No")</f>
        <v>Yes</v>
      </c>
    </row>
    <row r="40" spans="2:5" hidden="1" x14ac:dyDescent="0.25">
      <c r="B40" t="s">
        <v>113</v>
      </c>
      <c r="C40" t="s">
        <v>114</v>
      </c>
      <c r="E40" t="str">
        <f>IF(COUNTIF(QuickSpecsList!A:A, B40) &gt; 0, "Yes", "No")</f>
        <v>Yes</v>
      </c>
    </row>
    <row r="41" spans="2:5" hidden="1" x14ac:dyDescent="0.25">
      <c r="B41" t="s">
        <v>115</v>
      </c>
      <c r="C41" t="s">
        <v>116</v>
      </c>
      <c r="E41" t="str">
        <f>IF(COUNTIF(QuickSpecsList!A:A, B41) &gt; 0, "Yes", "No")</f>
        <v>Yes</v>
      </c>
    </row>
    <row r="42" spans="2:5" hidden="1" x14ac:dyDescent="0.25">
      <c r="B42" t="s">
        <v>117</v>
      </c>
      <c r="C42" t="s">
        <v>118</v>
      </c>
      <c r="E42" t="str">
        <f>IF(COUNTIF(QuickSpecsList!A:A, B42) &gt; 0, "Yes", "No")</f>
        <v>Yes</v>
      </c>
    </row>
    <row r="43" spans="2:5" hidden="1" x14ac:dyDescent="0.25">
      <c r="B43" t="s">
        <v>119</v>
      </c>
      <c r="C43" t="s">
        <v>120</v>
      </c>
      <c r="E43" t="str">
        <f>IF(COUNTIF(QuickSpecsList!A:A, B43) &gt; 0, "Yes", "No")</f>
        <v>Yes</v>
      </c>
    </row>
    <row r="44" spans="2:5" hidden="1" x14ac:dyDescent="0.25">
      <c r="B44" t="s">
        <v>121</v>
      </c>
      <c r="C44" t="s">
        <v>122</v>
      </c>
      <c r="E44" t="str">
        <f>IF(COUNTIF(QuickSpecsList!A:A, B44) &gt; 0, "Yes", "No")</f>
        <v>Yes</v>
      </c>
    </row>
    <row r="45" spans="2:5" hidden="1" x14ac:dyDescent="0.25">
      <c r="B45" t="s">
        <v>123</v>
      </c>
      <c r="C45" t="s">
        <v>124</v>
      </c>
      <c r="E45" t="str">
        <f>IF(COUNTIF(QuickSpecsList!A:A, B45) &gt; 0, "Yes", "No")</f>
        <v>Yes</v>
      </c>
    </row>
    <row r="46" spans="2:5" hidden="1" x14ac:dyDescent="0.25">
      <c r="B46" t="s">
        <v>125</v>
      </c>
      <c r="C46" t="s">
        <v>126</v>
      </c>
      <c r="E46" t="str">
        <f>IF(COUNTIF(QuickSpecsList!A:A, B46) &gt; 0, "Yes", "No")</f>
        <v>Yes</v>
      </c>
    </row>
    <row r="47" spans="2:5" hidden="1" x14ac:dyDescent="0.25">
      <c r="B47" t="s">
        <v>127</v>
      </c>
      <c r="C47" t="s">
        <v>128</v>
      </c>
      <c r="E47" t="str">
        <f>IF(COUNTIF(QuickSpecsList!A:A, B47) &gt; 0, "Yes", "No")</f>
        <v>Yes</v>
      </c>
    </row>
    <row r="48" spans="2:5" hidden="1" x14ac:dyDescent="0.25">
      <c r="B48" t="s">
        <v>129</v>
      </c>
      <c r="C48" t="s">
        <v>130</v>
      </c>
      <c r="E48" t="str">
        <f>IF(COUNTIF(QuickSpecsList!A:A, B48) &gt; 0, "Yes", "No")</f>
        <v>Yes</v>
      </c>
    </row>
    <row r="49" spans="2:5" hidden="1" x14ac:dyDescent="0.25">
      <c r="B49" t="s">
        <v>131</v>
      </c>
      <c r="C49" t="s">
        <v>132</v>
      </c>
      <c r="E49" t="str">
        <f>IF(COUNTIF(QuickSpecsList!A:A, B49) &gt; 0, "Yes", "No")</f>
        <v>Yes</v>
      </c>
    </row>
    <row r="50" spans="2:5" hidden="1" x14ac:dyDescent="0.25">
      <c r="B50" t="s">
        <v>133</v>
      </c>
      <c r="C50" t="s">
        <v>134</v>
      </c>
      <c r="E50" t="str">
        <f>IF(COUNTIF(QuickSpecsList!A:A, B50) &gt; 0, "Yes", "No")</f>
        <v>Yes</v>
      </c>
    </row>
    <row r="51" spans="2:5" hidden="1" x14ac:dyDescent="0.25">
      <c r="B51" t="s">
        <v>135</v>
      </c>
      <c r="C51" t="s">
        <v>136</v>
      </c>
      <c r="E51" t="str">
        <f>IF(COUNTIF(QuickSpecsList!A:A, B51) &gt; 0, "Yes", "No")</f>
        <v>Yes</v>
      </c>
    </row>
    <row r="52" spans="2:5" hidden="1" x14ac:dyDescent="0.25">
      <c r="B52" t="s">
        <v>137</v>
      </c>
      <c r="C52" t="s">
        <v>138</v>
      </c>
      <c r="E52" t="str">
        <f>IF(COUNTIF(QuickSpecsList!A:A, B52) &gt; 0, "Yes", "No")</f>
        <v>Yes</v>
      </c>
    </row>
    <row r="53" spans="2:5" hidden="1" x14ac:dyDescent="0.25">
      <c r="B53" t="s">
        <v>139</v>
      </c>
      <c r="C53" t="s">
        <v>140</v>
      </c>
      <c r="E53" t="str">
        <f>IF(COUNTIF(QuickSpecsList!A:A, B53) &gt; 0, "Yes", "No")</f>
        <v>Yes</v>
      </c>
    </row>
    <row r="54" spans="2:5" hidden="1" x14ac:dyDescent="0.25">
      <c r="B54" t="s">
        <v>143</v>
      </c>
      <c r="C54" t="s">
        <v>144</v>
      </c>
      <c r="E54" t="str">
        <f>IF(COUNTIF(QuickSpecsList!A:A, B54) &gt; 0, "Yes", "No")</f>
        <v>Yes</v>
      </c>
    </row>
    <row r="55" spans="2:5" hidden="1" x14ac:dyDescent="0.25">
      <c r="B55" t="s">
        <v>146</v>
      </c>
      <c r="C55" t="s">
        <v>147</v>
      </c>
      <c r="E55" t="str">
        <f>IF(COUNTIF(QuickSpecsList!A:A, B55) &gt; 0, "Yes", "No")</f>
        <v>Yes</v>
      </c>
    </row>
    <row r="56" spans="2:5" hidden="1" x14ac:dyDescent="0.25">
      <c r="B56" t="s">
        <v>148</v>
      </c>
      <c r="C56" t="s">
        <v>149</v>
      </c>
      <c r="E56" t="str">
        <f>IF(COUNTIF(QuickSpecsList!A:A, B56) &gt; 0, "Yes", "No")</f>
        <v>Yes</v>
      </c>
    </row>
    <row r="57" spans="2:5" hidden="1" x14ac:dyDescent="0.25">
      <c r="B57" t="s">
        <v>151</v>
      </c>
      <c r="C57" t="s">
        <v>152</v>
      </c>
      <c r="E57" t="str">
        <f>IF(COUNTIF(QuickSpecsList!A:A, B57) &gt; 0, "Yes", "No")</f>
        <v>Yes</v>
      </c>
    </row>
    <row r="58" spans="2:5" hidden="1" x14ac:dyDescent="0.25">
      <c r="B58" t="s">
        <v>154</v>
      </c>
      <c r="C58" t="s">
        <v>155</v>
      </c>
      <c r="E58" t="str">
        <f>IF(COUNTIF(QuickSpecsList!A:A, B58) &gt; 0, "Yes", "No")</f>
        <v>Yes</v>
      </c>
    </row>
    <row r="59" spans="2:5" hidden="1" x14ac:dyDescent="0.25">
      <c r="B59" t="s">
        <v>157</v>
      </c>
      <c r="C59" t="s">
        <v>158</v>
      </c>
      <c r="E59" t="str">
        <f>IF(COUNTIF(QuickSpecsList!A:A, B59) &gt; 0, "Yes", "No")</f>
        <v>Yes</v>
      </c>
    </row>
    <row r="60" spans="2:5" hidden="1" x14ac:dyDescent="0.25">
      <c r="B60" t="s">
        <v>159</v>
      </c>
      <c r="C60" t="s">
        <v>160</v>
      </c>
      <c r="E60" t="str">
        <f>IF(COUNTIF(QuickSpecsList!A:A, B60) &gt; 0, "Yes", "No")</f>
        <v>Yes</v>
      </c>
    </row>
    <row r="61" spans="2:5" hidden="1" x14ac:dyDescent="0.25">
      <c r="B61" t="s">
        <v>161</v>
      </c>
      <c r="C61" t="s">
        <v>162</v>
      </c>
      <c r="E61" t="str">
        <f>IF(COUNTIF(QuickSpecsList!A:A, B61) &gt; 0, "Yes", "No")</f>
        <v>Yes</v>
      </c>
    </row>
    <row r="62" spans="2:5" hidden="1" x14ac:dyDescent="0.25">
      <c r="B62" t="s">
        <v>163</v>
      </c>
      <c r="C62" t="s">
        <v>164</v>
      </c>
      <c r="E62" t="str">
        <f>IF(COUNTIF(QuickSpecsList!A:A, B62) &gt; 0, "Yes", "No")</f>
        <v>Yes</v>
      </c>
    </row>
    <row r="63" spans="2:5" hidden="1" x14ac:dyDescent="0.25">
      <c r="B63" t="s">
        <v>165</v>
      </c>
      <c r="C63" t="s">
        <v>166</v>
      </c>
      <c r="E63" t="str">
        <f>IF(COUNTIF(QuickSpecsList!A:A, B63) &gt; 0, "Yes", "No")</f>
        <v>Yes</v>
      </c>
    </row>
    <row r="64" spans="2:5" hidden="1" x14ac:dyDescent="0.25">
      <c r="B64" t="s">
        <v>169</v>
      </c>
      <c r="C64" t="s">
        <v>170</v>
      </c>
      <c r="E64" t="str">
        <f>IF(COUNTIF(QuickSpecsList!A:A, B64) &gt; 0, "Yes", "No")</f>
        <v>Yes</v>
      </c>
    </row>
    <row r="65" spans="2:5" hidden="1" x14ac:dyDescent="0.25">
      <c r="B65" t="s">
        <v>175</v>
      </c>
      <c r="C65" t="s">
        <v>176</v>
      </c>
      <c r="E65" t="str">
        <f>IF(COUNTIF(QuickSpecsList!A:A, B65) &gt; 0, "Yes", "No")</f>
        <v>Yes</v>
      </c>
    </row>
    <row r="66" spans="2:5" hidden="1" x14ac:dyDescent="0.25">
      <c r="B66" t="s">
        <v>180</v>
      </c>
      <c r="C66" t="s">
        <v>181</v>
      </c>
      <c r="E66" t="str">
        <f>IF(COUNTIF(QuickSpecsList!A:A, B66) &gt; 0, "Yes", "No")</f>
        <v>Yes</v>
      </c>
    </row>
    <row r="67" spans="2:5" hidden="1" x14ac:dyDescent="0.25">
      <c r="B67" t="s">
        <v>182</v>
      </c>
      <c r="C67" t="s">
        <v>183</v>
      </c>
      <c r="E67" t="str">
        <f>IF(COUNTIF(QuickSpecsList!A:A, B67) &gt; 0, "Yes", "No")</f>
        <v>Yes</v>
      </c>
    </row>
    <row r="68" spans="2:5" hidden="1" x14ac:dyDescent="0.25">
      <c r="B68" t="s">
        <v>184</v>
      </c>
      <c r="C68" t="s">
        <v>185</v>
      </c>
      <c r="E68" t="str">
        <f>IF(COUNTIF(QuickSpecsList!A:A, B68) &gt; 0, "Yes", "No")</f>
        <v>Yes</v>
      </c>
    </row>
    <row r="69" spans="2:5" hidden="1" x14ac:dyDescent="0.25">
      <c r="B69" t="s">
        <v>186</v>
      </c>
      <c r="C69" t="s">
        <v>187</v>
      </c>
      <c r="E69" t="str">
        <f>IF(COUNTIF(QuickSpecsList!A:A, B69) &gt; 0, "Yes", "No")</f>
        <v>Yes</v>
      </c>
    </row>
    <row r="70" spans="2:5" hidden="1" x14ac:dyDescent="0.25">
      <c r="B70" t="s">
        <v>188</v>
      </c>
      <c r="C70" t="s">
        <v>189</v>
      </c>
      <c r="E70" t="str">
        <f>IF(COUNTIF(QuickSpecsList!A:A, B70) &gt; 0, "Yes", "No")</f>
        <v>Yes</v>
      </c>
    </row>
    <row r="71" spans="2:5" hidden="1" x14ac:dyDescent="0.25">
      <c r="B71" t="s">
        <v>192</v>
      </c>
      <c r="C71" t="s">
        <v>193</v>
      </c>
      <c r="E71" t="str">
        <f>IF(COUNTIF(QuickSpecsList!A:A, B71) &gt; 0, "Yes", "No")</f>
        <v>Yes</v>
      </c>
    </row>
    <row r="72" spans="2:5" hidden="1" x14ac:dyDescent="0.25">
      <c r="B72" t="s">
        <v>194</v>
      </c>
      <c r="C72" t="s">
        <v>195</v>
      </c>
      <c r="E72" t="str">
        <f>IF(COUNTIF(QuickSpecsList!A:A, B72) &gt; 0, "Yes", "No")</f>
        <v>Yes</v>
      </c>
    </row>
    <row r="73" spans="2:5" hidden="1" x14ac:dyDescent="0.25">
      <c r="B73" t="s">
        <v>196</v>
      </c>
      <c r="C73" t="s">
        <v>197</v>
      </c>
      <c r="E73" t="str">
        <f>IF(COUNTIF(QuickSpecsList!A:A, B73) &gt; 0, "Yes", "No")</f>
        <v>Yes</v>
      </c>
    </row>
    <row r="74" spans="2:5" hidden="1" x14ac:dyDescent="0.25">
      <c r="B74" t="s">
        <v>202</v>
      </c>
      <c r="C74" t="s">
        <v>203</v>
      </c>
      <c r="E74" t="str">
        <f>IF(COUNTIF(QuickSpecsList!A:A, B74) &gt; 0, "Yes", "No")</f>
        <v>Yes</v>
      </c>
    </row>
    <row r="75" spans="2:5" hidden="1" x14ac:dyDescent="0.25">
      <c r="B75" t="s">
        <v>204</v>
      </c>
      <c r="C75" t="s">
        <v>205</v>
      </c>
      <c r="E75" t="str">
        <f>IF(COUNTIF(QuickSpecsList!A:A, B75) &gt; 0, "Yes", "No")</f>
        <v>Yes</v>
      </c>
    </row>
    <row r="76" spans="2:5" hidden="1" x14ac:dyDescent="0.25">
      <c r="B76" t="s">
        <v>206</v>
      </c>
      <c r="C76" t="s">
        <v>207</v>
      </c>
      <c r="E76" t="str">
        <f>IF(COUNTIF(QuickSpecsList!A:A, B76) &gt; 0, "Yes", "No")</f>
        <v>Yes</v>
      </c>
    </row>
    <row r="77" spans="2:5" hidden="1" x14ac:dyDescent="0.25">
      <c r="B77" t="s">
        <v>208</v>
      </c>
      <c r="C77" t="s">
        <v>209</v>
      </c>
      <c r="E77" t="str">
        <f>IF(COUNTIF(QuickSpecsList!A:A, B77) &gt; 0, "Yes", "No")</f>
        <v>Yes</v>
      </c>
    </row>
    <row r="78" spans="2:5" hidden="1" x14ac:dyDescent="0.25">
      <c r="B78" t="s">
        <v>210</v>
      </c>
      <c r="C78" t="s">
        <v>211</v>
      </c>
      <c r="E78" t="str">
        <f>IF(COUNTIF(QuickSpecsList!A:A, B78) &gt; 0, "Yes", "No")</f>
        <v>Yes</v>
      </c>
    </row>
    <row r="79" spans="2:5" hidden="1" x14ac:dyDescent="0.25">
      <c r="B79" t="s">
        <v>212</v>
      </c>
      <c r="C79" t="s">
        <v>213</v>
      </c>
      <c r="E79" t="str">
        <f>IF(COUNTIF(QuickSpecsList!A:A, B79) &gt; 0, "Yes", "No")</f>
        <v>Yes</v>
      </c>
    </row>
    <row r="80" spans="2:5" hidden="1" x14ac:dyDescent="0.25">
      <c r="B80" t="s">
        <v>214</v>
      </c>
      <c r="C80" t="s">
        <v>215</v>
      </c>
      <c r="E80" t="str">
        <f>IF(COUNTIF(QuickSpecsList!A:A, B80) &gt; 0, "Yes", "No")</f>
        <v>Yes</v>
      </c>
    </row>
    <row r="81" spans="2:5" hidden="1" x14ac:dyDescent="0.25">
      <c r="B81" t="s">
        <v>216</v>
      </c>
      <c r="C81" t="s">
        <v>217</v>
      </c>
      <c r="E81" t="str">
        <f>IF(COUNTIF(QuickSpecsList!A:A, B81) &gt; 0, "Yes", "No")</f>
        <v>Yes</v>
      </c>
    </row>
    <row r="82" spans="2:5" hidden="1" x14ac:dyDescent="0.25">
      <c r="B82" t="s">
        <v>220</v>
      </c>
      <c r="C82" t="s">
        <v>221</v>
      </c>
      <c r="E82" t="str">
        <f>IF(COUNTIF(QuickSpecsList!A:A, B82) &gt; 0, "Yes", "No")</f>
        <v>Yes</v>
      </c>
    </row>
    <row r="83" spans="2:5" hidden="1" x14ac:dyDescent="0.25">
      <c r="B83" t="s">
        <v>222</v>
      </c>
      <c r="C83" t="s">
        <v>223</v>
      </c>
      <c r="E83" t="str">
        <f>IF(COUNTIF(QuickSpecsList!A:A, B83) &gt; 0, "Yes", "No")</f>
        <v>Yes</v>
      </c>
    </row>
    <row r="84" spans="2:5" hidden="1" x14ac:dyDescent="0.25">
      <c r="B84" t="s">
        <v>225</v>
      </c>
      <c r="C84" t="s">
        <v>226</v>
      </c>
      <c r="E84" t="str">
        <f>IF(COUNTIF(QuickSpecsList!A:A, B84) &gt; 0, "Yes", "No")</f>
        <v>Yes</v>
      </c>
    </row>
    <row r="85" spans="2:5" hidden="1" x14ac:dyDescent="0.25">
      <c r="B85" t="s">
        <v>227</v>
      </c>
      <c r="C85" t="s">
        <v>228</v>
      </c>
      <c r="E85" t="str">
        <f>IF(COUNTIF(QuickSpecsList!A:A, B85) &gt; 0, "Yes", "No")</f>
        <v>Yes</v>
      </c>
    </row>
    <row r="86" spans="2:5" hidden="1" x14ac:dyDescent="0.25">
      <c r="B86" t="s">
        <v>231</v>
      </c>
      <c r="C86" t="s">
        <v>232</v>
      </c>
      <c r="E86" t="str">
        <f>IF(COUNTIF(QuickSpecsList!A:A, B86) &gt; 0, "Yes", "No")</f>
        <v>Yes</v>
      </c>
    </row>
    <row r="87" spans="2:5" hidden="1" x14ac:dyDescent="0.25">
      <c r="B87" t="s">
        <v>233</v>
      </c>
      <c r="C87" t="s">
        <v>234</v>
      </c>
      <c r="E87" t="str">
        <f>IF(COUNTIF(QuickSpecsList!A:A, B87) &gt; 0, "Yes", "No")</f>
        <v>Yes</v>
      </c>
    </row>
    <row r="88" spans="2:5" hidden="1" x14ac:dyDescent="0.25">
      <c r="B88" t="s">
        <v>235</v>
      </c>
      <c r="C88" t="s">
        <v>236</v>
      </c>
      <c r="E88" t="str">
        <f>IF(COUNTIF(QuickSpecsList!A:A, B88) &gt; 0, "Yes", "No")</f>
        <v>Yes</v>
      </c>
    </row>
    <row r="89" spans="2:5" hidden="1" x14ac:dyDescent="0.25">
      <c r="B89" t="s">
        <v>237</v>
      </c>
      <c r="C89" t="s">
        <v>238</v>
      </c>
      <c r="E89" t="str">
        <f>IF(COUNTIF(QuickSpecsList!A:A, B89) &gt; 0, "Yes", "No")</f>
        <v>Yes</v>
      </c>
    </row>
    <row r="90" spans="2:5" hidden="1" x14ac:dyDescent="0.25">
      <c r="B90" t="s">
        <v>241</v>
      </c>
      <c r="C90" t="s">
        <v>242</v>
      </c>
      <c r="E90" t="str">
        <f>IF(COUNTIF(QuickSpecsList!A:A, B90) &gt; 0, "Yes", "No")</f>
        <v>Yes</v>
      </c>
    </row>
    <row r="91" spans="2:5" hidden="1" x14ac:dyDescent="0.25">
      <c r="B91" t="s">
        <v>243</v>
      </c>
      <c r="C91" t="s">
        <v>244</v>
      </c>
      <c r="E91" t="str">
        <f>IF(COUNTIF(QuickSpecsList!A:A, B91) &gt; 0, "Yes", "No")</f>
        <v>Yes</v>
      </c>
    </row>
    <row r="92" spans="2:5" hidden="1" x14ac:dyDescent="0.25">
      <c r="B92" t="s">
        <v>246</v>
      </c>
      <c r="C92" t="s">
        <v>247</v>
      </c>
      <c r="E92" t="str">
        <f>IF(COUNTIF(QuickSpecsList!A:A, B92) &gt; 0, "Yes", "No")</f>
        <v>Yes</v>
      </c>
    </row>
    <row r="93" spans="2:5" hidden="1" x14ac:dyDescent="0.25">
      <c r="B93" t="s">
        <v>257</v>
      </c>
      <c r="C93" t="s">
        <v>258</v>
      </c>
      <c r="E93" t="str">
        <f>IF(COUNTIF(QuickSpecsList!A:A, B93) &gt; 0, "Yes", "No")</f>
        <v>Yes</v>
      </c>
    </row>
    <row r="94" spans="2:5" hidden="1" x14ac:dyDescent="0.25">
      <c r="B94" t="s">
        <v>259</v>
      </c>
      <c r="C94" t="s">
        <v>260</v>
      </c>
      <c r="E94" t="str">
        <f>IF(COUNTIF(QuickSpecsList!A:A, B94) &gt; 0, "Yes", "No")</f>
        <v>Yes</v>
      </c>
    </row>
    <row r="95" spans="2:5" hidden="1" x14ac:dyDescent="0.25">
      <c r="B95" t="s">
        <v>261</v>
      </c>
      <c r="C95" t="s">
        <v>262</v>
      </c>
      <c r="E95" t="str">
        <f>IF(COUNTIF(QuickSpecsList!A:A, B95) &gt; 0, "Yes", "No")</f>
        <v>Yes</v>
      </c>
    </row>
    <row r="96" spans="2:5" hidden="1" x14ac:dyDescent="0.25">
      <c r="B96" t="s">
        <v>263</v>
      </c>
      <c r="C96" t="s">
        <v>264</v>
      </c>
      <c r="E96" t="str">
        <f>IF(COUNTIF(QuickSpecsList!A:A, B96) &gt; 0, "Yes", "No")</f>
        <v>Yes</v>
      </c>
    </row>
    <row r="97" spans="2:5" hidden="1" x14ac:dyDescent="0.25">
      <c r="B97" t="s">
        <v>265</v>
      </c>
      <c r="C97" t="s">
        <v>266</v>
      </c>
      <c r="E97" t="str">
        <f>IF(COUNTIF(QuickSpecsList!A:A, B97) &gt; 0, "Yes", "No")</f>
        <v>Yes</v>
      </c>
    </row>
    <row r="98" spans="2:5" hidden="1" x14ac:dyDescent="0.25">
      <c r="B98" t="s">
        <v>267</v>
      </c>
      <c r="C98" t="s">
        <v>268</v>
      </c>
      <c r="E98" t="str">
        <f>IF(COUNTIF(QuickSpecsList!A:A, B98) &gt; 0, "Yes", "No")</f>
        <v>Yes</v>
      </c>
    </row>
    <row r="99" spans="2:5" hidden="1" x14ac:dyDescent="0.25">
      <c r="B99" t="s">
        <v>269</v>
      </c>
      <c r="C99" t="s">
        <v>270</v>
      </c>
      <c r="E99" t="str">
        <f>IF(COUNTIF(QuickSpecsList!A:A, B99) &gt; 0, "Yes", "No")</f>
        <v>Yes</v>
      </c>
    </row>
    <row r="100" spans="2:5" hidden="1" x14ac:dyDescent="0.25">
      <c r="B100" t="s">
        <v>271</v>
      </c>
      <c r="C100" t="s">
        <v>272</v>
      </c>
      <c r="E100" t="str">
        <f>IF(COUNTIF(QuickSpecsList!A:A, B100) &gt; 0, "Yes", "No")</f>
        <v>Yes</v>
      </c>
    </row>
    <row r="101" spans="2:5" hidden="1" x14ac:dyDescent="0.25">
      <c r="B101" t="s">
        <v>273</v>
      </c>
      <c r="C101" t="s">
        <v>274</v>
      </c>
      <c r="E101" t="str">
        <f>IF(COUNTIF(QuickSpecsList!A:A, B101) &gt; 0, "Yes", "No")</f>
        <v>Yes</v>
      </c>
    </row>
    <row r="102" spans="2:5" hidden="1" x14ac:dyDescent="0.25">
      <c r="B102" t="s">
        <v>276</v>
      </c>
      <c r="C102" t="s">
        <v>277</v>
      </c>
      <c r="E102" t="str">
        <f>IF(COUNTIF(QuickSpecsList!A:A, B102) &gt; 0, "Yes", "No")</f>
        <v>Yes</v>
      </c>
    </row>
    <row r="103" spans="2:5" hidden="1" x14ac:dyDescent="0.25">
      <c r="B103" t="s">
        <v>278</v>
      </c>
      <c r="C103" t="s">
        <v>279</v>
      </c>
      <c r="E103" t="str">
        <f>IF(COUNTIF(QuickSpecsList!A:A, B103) &gt; 0, "Yes", "No")</f>
        <v>Yes</v>
      </c>
    </row>
    <row r="104" spans="2:5" hidden="1" x14ac:dyDescent="0.25">
      <c r="B104" t="s">
        <v>280</v>
      </c>
      <c r="C104" t="s">
        <v>281</v>
      </c>
      <c r="E104" t="str">
        <f>IF(COUNTIF(QuickSpecsList!A:A, B104) &gt; 0, "Yes", "No")</f>
        <v>Yes</v>
      </c>
    </row>
    <row r="105" spans="2:5" hidden="1" x14ac:dyDescent="0.25">
      <c r="B105" t="s">
        <v>282</v>
      </c>
      <c r="C105" t="s">
        <v>283</v>
      </c>
      <c r="E105" t="str">
        <f>IF(COUNTIF(QuickSpecsList!A:A, B105) &gt; 0, "Yes", "No")</f>
        <v>Yes</v>
      </c>
    </row>
    <row r="106" spans="2:5" hidden="1" x14ac:dyDescent="0.25">
      <c r="B106" t="s">
        <v>284</v>
      </c>
      <c r="C106" t="s">
        <v>285</v>
      </c>
      <c r="E106" t="str">
        <f>IF(COUNTIF(QuickSpecsList!A:A, B106) &gt; 0, "Yes", "No")</f>
        <v>Yes</v>
      </c>
    </row>
    <row r="107" spans="2:5" hidden="1" x14ac:dyDescent="0.25">
      <c r="B107" t="s">
        <v>286</v>
      </c>
      <c r="C107" t="s">
        <v>287</v>
      </c>
      <c r="E107" t="str">
        <f>IF(COUNTIF(QuickSpecsList!A:A, B107) &gt; 0, "Yes", "No")</f>
        <v>Yes</v>
      </c>
    </row>
    <row r="108" spans="2:5" hidden="1" x14ac:dyDescent="0.25">
      <c r="B108" t="s">
        <v>288</v>
      </c>
      <c r="C108" t="s">
        <v>289</v>
      </c>
      <c r="E108" t="str">
        <f>IF(COUNTIF(QuickSpecsList!A:A, B108) &gt; 0, "Yes", "No")</f>
        <v>Yes</v>
      </c>
    </row>
    <row r="109" spans="2:5" hidden="1" x14ac:dyDescent="0.25">
      <c r="B109" t="s">
        <v>290</v>
      </c>
      <c r="C109" t="s">
        <v>291</v>
      </c>
      <c r="E109" t="str">
        <f>IF(COUNTIF(QuickSpecsList!A:A, B109) &gt; 0, "Yes", "No")</f>
        <v>Yes</v>
      </c>
    </row>
    <row r="110" spans="2:5" hidden="1" x14ac:dyDescent="0.25">
      <c r="B110" t="s">
        <v>292</v>
      </c>
      <c r="C110" t="s">
        <v>293</v>
      </c>
      <c r="E110" t="str">
        <f>IF(COUNTIF(QuickSpecsList!A:A, B110) &gt; 0, "Yes", "No")</f>
        <v>Yes</v>
      </c>
    </row>
    <row r="111" spans="2:5" hidden="1" x14ac:dyDescent="0.25">
      <c r="B111" t="s">
        <v>294</v>
      </c>
      <c r="C111" t="s">
        <v>295</v>
      </c>
      <c r="E111" t="str">
        <f>IF(COUNTIF(QuickSpecsList!A:A, B111) &gt; 0, "Yes", "No")</f>
        <v>Yes</v>
      </c>
    </row>
    <row r="112" spans="2:5" hidden="1" x14ac:dyDescent="0.25">
      <c r="B112" t="s">
        <v>296</v>
      </c>
      <c r="C112" t="s">
        <v>297</v>
      </c>
      <c r="E112" t="str">
        <f>IF(COUNTIF(QuickSpecsList!A:A, B112) &gt; 0, "Yes", "No")</f>
        <v>Yes</v>
      </c>
    </row>
    <row r="113" spans="2:5" hidden="1" x14ac:dyDescent="0.25">
      <c r="B113" t="s">
        <v>298</v>
      </c>
      <c r="C113" t="s">
        <v>299</v>
      </c>
      <c r="E113" t="str">
        <f>IF(COUNTIF(QuickSpecsList!A:A, B113) &gt; 0, "Yes", "No")</f>
        <v>Yes</v>
      </c>
    </row>
    <row r="114" spans="2:5" hidden="1" x14ac:dyDescent="0.25">
      <c r="B114" t="s">
        <v>300</v>
      </c>
      <c r="C114" t="s">
        <v>301</v>
      </c>
      <c r="E114" t="str">
        <f>IF(COUNTIF(QuickSpecsList!A:A, B114) &gt; 0, "Yes", "No")</f>
        <v>Yes</v>
      </c>
    </row>
    <row r="115" spans="2:5" hidden="1" x14ac:dyDescent="0.25">
      <c r="B115" t="s">
        <v>302</v>
      </c>
      <c r="C115" t="s">
        <v>303</v>
      </c>
      <c r="E115" t="str">
        <f>IF(COUNTIF(QuickSpecsList!A:A, B115) &gt; 0, "Yes", "No")</f>
        <v>Yes</v>
      </c>
    </row>
    <row r="116" spans="2:5" hidden="1" x14ac:dyDescent="0.25">
      <c r="B116" t="s">
        <v>304</v>
      </c>
      <c r="C116" t="s">
        <v>305</v>
      </c>
      <c r="E116" t="str">
        <f>IF(COUNTIF(QuickSpecsList!A:A, B116) &gt; 0, "Yes", "No")</f>
        <v>Yes</v>
      </c>
    </row>
    <row r="117" spans="2:5" hidden="1" x14ac:dyDescent="0.25">
      <c r="B117" t="s">
        <v>306</v>
      </c>
      <c r="C117" t="s">
        <v>307</v>
      </c>
      <c r="E117" t="str">
        <f>IF(COUNTIF(QuickSpecsList!A:A, B117) &gt; 0, "Yes", "No")</f>
        <v>Yes</v>
      </c>
    </row>
    <row r="118" spans="2:5" hidden="1" x14ac:dyDescent="0.25">
      <c r="B118" t="s">
        <v>308</v>
      </c>
      <c r="C118" t="s">
        <v>309</v>
      </c>
      <c r="E118" t="str">
        <f>IF(COUNTIF(QuickSpecsList!A:A, B118) &gt; 0, "Yes", "No")</f>
        <v>Yes</v>
      </c>
    </row>
    <row r="119" spans="2:5" hidden="1" x14ac:dyDescent="0.25">
      <c r="B119" t="s">
        <v>310</v>
      </c>
      <c r="C119" t="s">
        <v>311</v>
      </c>
      <c r="E119" t="str">
        <f>IF(COUNTIF(QuickSpecsList!A:A, B119) &gt; 0, "Yes", "No")</f>
        <v>Yes</v>
      </c>
    </row>
    <row r="120" spans="2:5" hidden="1" x14ac:dyDescent="0.25">
      <c r="B120" t="s">
        <v>312</v>
      </c>
      <c r="C120" t="s">
        <v>313</v>
      </c>
      <c r="E120" t="str">
        <f>IF(COUNTIF(QuickSpecsList!A:A, B120) &gt; 0, "Yes", "No")</f>
        <v>Yes</v>
      </c>
    </row>
    <row r="121" spans="2:5" hidden="1" x14ac:dyDescent="0.25">
      <c r="B121" t="s">
        <v>314</v>
      </c>
      <c r="C121" t="s">
        <v>315</v>
      </c>
      <c r="E121" t="str">
        <f>IF(COUNTIF(QuickSpecsList!A:A, B121) &gt; 0, "Yes", "No")</f>
        <v>Yes</v>
      </c>
    </row>
    <row r="122" spans="2:5" hidden="1" x14ac:dyDescent="0.25">
      <c r="B122" t="s">
        <v>316</v>
      </c>
      <c r="C122" t="s">
        <v>317</v>
      </c>
      <c r="E122" t="str">
        <f>IF(COUNTIF(QuickSpecsList!A:A, B122) &gt; 0, "Yes", "No")</f>
        <v>Yes</v>
      </c>
    </row>
    <row r="123" spans="2:5" hidden="1" x14ac:dyDescent="0.25">
      <c r="B123" t="s">
        <v>318</v>
      </c>
      <c r="C123" t="s">
        <v>319</v>
      </c>
      <c r="E123" t="str">
        <f>IF(COUNTIF(QuickSpecsList!A:A, B123) &gt; 0, "Yes", "No")</f>
        <v>Yes</v>
      </c>
    </row>
    <row r="124" spans="2:5" hidden="1" x14ac:dyDescent="0.25">
      <c r="B124" t="s">
        <v>320</v>
      </c>
      <c r="C124" t="s">
        <v>321</v>
      </c>
      <c r="E124" t="str">
        <f>IF(COUNTIF(QuickSpecsList!A:A, B124) &gt; 0, "Yes", "No")</f>
        <v>Yes</v>
      </c>
    </row>
    <row r="125" spans="2:5" hidden="1" x14ac:dyDescent="0.25">
      <c r="B125" t="s">
        <v>322</v>
      </c>
      <c r="C125" t="s">
        <v>323</v>
      </c>
      <c r="E125" t="str">
        <f>IF(COUNTIF(QuickSpecsList!A:A, B125) &gt; 0, "Yes", "No")</f>
        <v>Yes</v>
      </c>
    </row>
    <row r="126" spans="2:5" hidden="1" x14ac:dyDescent="0.25">
      <c r="B126" t="s">
        <v>324</v>
      </c>
      <c r="C126" t="s">
        <v>325</v>
      </c>
      <c r="E126" t="str">
        <f>IF(COUNTIF(QuickSpecsList!A:A, B126) &gt; 0, "Yes", "No")</f>
        <v>Yes</v>
      </c>
    </row>
    <row r="127" spans="2:5" hidden="1" x14ac:dyDescent="0.25">
      <c r="B127" t="s">
        <v>326</v>
      </c>
      <c r="C127" t="s">
        <v>327</v>
      </c>
      <c r="E127" t="str">
        <f>IF(COUNTIF(QuickSpecsList!A:A, B127) &gt; 0, "Yes", "No")</f>
        <v>Yes</v>
      </c>
    </row>
    <row r="128" spans="2:5" hidden="1" x14ac:dyDescent="0.25">
      <c r="B128" t="s">
        <v>328</v>
      </c>
      <c r="C128" t="s">
        <v>329</v>
      </c>
      <c r="E128" t="str">
        <f>IF(COUNTIF(QuickSpecsList!A:A, B128) &gt; 0, "Yes", "No")</f>
        <v>Yes</v>
      </c>
    </row>
    <row r="129" spans="2:5" hidden="1" x14ac:dyDescent="0.25">
      <c r="B129" t="s">
        <v>330</v>
      </c>
      <c r="C129" t="s">
        <v>331</v>
      </c>
      <c r="E129" t="str">
        <f>IF(COUNTIF(QuickSpecsList!A:A, B129) &gt; 0, "Yes", "No")</f>
        <v>Yes</v>
      </c>
    </row>
    <row r="130" spans="2:5" hidden="1" x14ac:dyDescent="0.25">
      <c r="B130" t="s">
        <v>332</v>
      </c>
      <c r="C130" t="s">
        <v>333</v>
      </c>
      <c r="E130" t="str">
        <f>IF(COUNTIF(QuickSpecsList!A:A, B130) &gt; 0, "Yes", "No")</f>
        <v>Yes</v>
      </c>
    </row>
    <row r="131" spans="2:5" hidden="1" x14ac:dyDescent="0.25">
      <c r="B131" t="s">
        <v>334</v>
      </c>
      <c r="C131" t="s">
        <v>335</v>
      </c>
      <c r="E131" t="str">
        <f>IF(COUNTIF(QuickSpecsList!A:A, B131) &gt; 0, "Yes", "No")</f>
        <v>Yes</v>
      </c>
    </row>
    <row r="132" spans="2:5" hidden="1" x14ac:dyDescent="0.25">
      <c r="B132" t="s">
        <v>338</v>
      </c>
      <c r="C132" t="s">
        <v>339</v>
      </c>
      <c r="E132" t="str">
        <f>IF(COUNTIF(QuickSpecsList!A:A, B132) &gt; 0, "Yes", "No")</f>
        <v>Yes</v>
      </c>
    </row>
    <row r="133" spans="2:5" hidden="1" x14ac:dyDescent="0.25">
      <c r="B133" t="s">
        <v>385</v>
      </c>
      <c r="C133" t="s">
        <v>386</v>
      </c>
      <c r="E133" t="str">
        <f>IF(COUNTIF(QuickSpecsList!A:A, B133) &gt; 0, "Yes", "No")</f>
        <v>Yes</v>
      </c>
    </row>
    <row r="134" spans="2:5" hidden="1" x14ac:dyDescent="0.25">
      <c r="B134" t="s">
        <v>387</v>
      </c>
      <c r="C134" t="s">
        <v>388</v>
      </c>
      <c r="E134" t="str">
        <f>IF(COUNTIF(QuickSpecsList!A:A, B134) &gt; 0, "Yes", "No")</f>
        <v>Yes</v>
      </c>
    </row>
    <row r="135" spans="2:5" hidden="1" x14ac:dyDescent="0.25">
      <c r="B135" t="s">
        <v>352</v>
      </c>
      <c r="C135" t="s">
        <v>353</v>
      </c>
      <c r="E135" t="str">
        <f>IF(COUNTIF(QuickSpecsList!A:A, B135) &gt; 0, "Yes", "No")</f>
        <v>Yes</v>
      </c>
    </row>
    <row r="136" spans="2:5" hidden="1" x14ac:dyDescent="0.25">
      <c r="B136" t="s">
        <v>354</v>
      </c>
      <c r="C136" t="s">
        <v>355</v>
      </c>
      <c r="E136" t="str">
        <f>IF(COUNTIF(QuickSpecsList!A:A, B136) &gt; 0, "Yes", "No")</f>
        <v>Yes</v>
      </c>
    </row>
    <row r="137" spans="2:5" hidden="1" x14ac:dyDescent="0.25">
      <c r="B137" t="s">
        <v>356</v>
      </c>
      <c r="C137" t="s">
        <v>357</v>
      </c>
      <c r="E137" t="str">
        <f>IF(COUNTIF(QuickSpecsList!A:A, B137) &gt; 0, "Yes", "No")</f>
        <v>Yes</v>
      </c>
    </row>
    <row r="138" spans="2:5" hidden="1" x14ac:dyDescent="0.25">
      <c r="B138" t="s">
        <v>359</v>
      </c>
      <c r="C138" t="s">
        <v>360</v>
      </c>
      <c r="E138" t="str">
        <f>IF(COUNTIF(QuickSpecsList!A:A, B138) &gt; 0, "Yes", "No")</f>
        <v>Yes</v>
      </c>
    </row>
    <row r="139" spans="2:5" hidden="1" x14ac:dyDescent="0.25">
      <c r="B139" t="s">
        <v>363</v>
      </c>
      <c r="C139" t="s">
        <v>364</v>
      </c>
      <c r="E139" t="str">
        <f>IF(COUNTIF(QuickSpecsList!A:A, B139) &gt; 0, "Yes", "No")</f>
        <v>Yes</v>
      </c>
    </row>
    <row r="140" spans="2:5" hidden="1" x14ac:dyDescent="0.25">
      <c r="B140" t="s">
        <v>365</v>
      </c>
      <c r="C140" t="s">
        <v>366</v>
      </c>
      <c r="E140" t="str">
        <f>IF(COUNTIF(QuickSpecsList!A:A, B140) &gt; 0, "Yes", "No")</f>
        <v>Yes</v>
      </c>
    </row>
    <row r="141" spans="2:5" hidden="1" x14ac:dyDescent="0.25">
      <c r="B141" t="s">
        <v>29</v>
      </c>
      <c r="C141" t="s">
        <v>30</v>
      </c>
      <c r="E141" t="str">
        <f>IF(COUNTIF(QuickSpecsList!A:A, B141) &gt; 0, "Yes", "No")</f>
        <v>Yes</v>
      </c>
    </row>
    <row r="142" spans="2:5" x14ac:dyDescent="0.25">
      <c r="B142" t="s">
        <v>1172</v>
      </c>
      <c r="C142" t="s">
        <v>1173</v>
      </c>
      <c r="E142" t="str">
        <f>IF(COUNTIF(QuickSpecsList!A:A, B142) &gt; 0, "Yes", "No")</f>
        <v>Yes</v>
      </c>
    </row>
    <row r="143" spans="2:5" x14ac:dyDescent="0.25">
      <c r="B143" t="s">
        <v>1174</v>
      </c>
      <c r="C143" t="s">
        <v>1175</v>
      </c>
      <c r="E143" t="str">
        <f>IF(COUNTIF(QuickSpecsList!A:A, B143) &gt; 0, "Yes", "No")</f>
        <v>Yes</v>
      </c>
    </row>
    <row r="144" spans="2:5" x14ac:dyDescent="0.25">
      <c r="B144" t="s">
        <v>1176</v>
      </c>
      <c r="C144" t="s">
        <v>1177</v>
      </c>
      <c r="E144" t="str">
        <f>IF(COUNTIF(QuickSpecsList!A:A, B144) &gt; 0, "Yes", "No")</f>
        <v>Yes</v>
      </c>
    </row>
    <row r="145" spans="2:5" x14ac:dyDescent="0.25">
      <c r="B145" t="s">
        <v>1178</v>
      </c>
      <c r="C145" t="s">
        <v>1179</v>
      </c>
      <c r="E145" t="str">
        <f>IF(COUNTIF(QuickSpecsList!A:A, B145) &gt; 0, "Yes", "No")</f>
        <v>Yes</v>
      </c>
    </row>
    <row r="146" spans="2:5" x14ac:dyDescent="0.25">
      <c r="B146" t="s">
        <v>1180</v>
      </c>
      <c r="C146" t="s">
        <v>1181</v>
      </c>
      <c r="E146" t="str">
        <f>IF(COUNTIF(QuickSpecsList!A:A, B146) &gt; 0, "Yes", "No")</f>
        <v>Yes</v>
      </c>
    </row>
    <row r="147" spans="2:5" hidden="1" x14ac:dyDescent="0.25">
      <c r="B147" t="s">
        <v>401</v>
      </c>
      <c r="C147" t="s">
        <v>402</v>
      </c>
      <c r="E147" t="str">
        <f>IF(COUNTIF(QuickSpecsList!A:A, B147) &gt; 0, "Yes", "No")</f>
        <v>Yes</v>
      </c>
    </row>
    <row r="148" spans="2:5" hidden="1" x14ac:dyDescent="0.25">
      <c r="B148" t="s">
        <v>1006</v>
      </c>
      <c r="C148" t="s">
        <v>1007</v>
      </c>
      <c r="E148" t="str">
        <f>IF(COUNTIF(QuickSpecsList!A:A, B148) &gt; 0, "Yes", "No")</f>
        <v>Yes</v>
      </c>
    </row>
    <row r="149" spans="2:5" hidden="1" x14ac:dyDescent="0.25">
      <c r="B149" t="s">
        <v>310</v>
      </c>
      <c r="C149" t="s">
        <v>311</v>
      </c>
      <c r="E149" t="str">
        <f>IF(COUNTIF(QuickSpecsList!A:A, B149) &gt; 0, "Yes", "No")</f>
        <v>Yes</v>
      </c>
    </row>
    <row r="150" spans="2:5" hidden="1" x14ac:dyDescent="0.25">
      <c r="B150" t="s">
        <v>567</v>
      </c>
      <c r="C150" t="s">
        <v>568</v>
      </c>
      <c r="E150" t="str">
        <f>IF(COUNTIF(QuickSpecsList!A:A, B150) &gt; 0, "Yes", "No")</f>
        <v>Yes</v>
      </c>
    </row>
    <row r="151" spans="2:5" hidden="1" x14ac:dyDescent="0.25">
      <c r="B151" t="s">
        <v>308</v>
      </c>
      <c r="C151" t="s">
        <v>309</v>
      </c>
      <c r="E151" t="str">
        <f>IF(COUNTIF(QuickSpecsList!A:A, B151) &gt; 0, "Yes", "No")</f>
        <v>Yes</v>
      </c>
    </row>
    <row r="152" spans="2:5" hidden="1" x14ac:dyDescent="0.25">
      <c r="B152" t="s">
        <v>306</v>
      </c>
      <c r="C152" t="s">
        <v>307</v>
      </c>
      <c r="E152" t="str">
        <f>IF(COUNTIF(QuickSpecsList!A:A, B152) &gt; 0, "Yes", "No")</f>
        <v>Yes</v>
      </c>
    </row>
    <row r="153" spans="2:5" hidden="1" x14ac:dyDescent="0.25">
      <c r="B153" t="s">
        <v>542</v>
      </c>
      <c r="C153" t="s">
        <v>543</v>
      </c>
      <c r="E153" t="str">
        <f>IF(COUNTIF(QuickSpecsList!A:A, B153) &gt; 0, "Yes", "No")</f>
        <v>Yes</v>
      </c>
    </row>
    <row r="154" spans="2:5" hidden="1" x14ac:dyDescent="0.25">
      <c r="B154" t="s">
        <v>540</v>
      </c>
      <c r="C154" t="s">
        <v>541</v>
      </c>
      <c r="E154" t="str">
        <f>IF(COUNTIF(QuickSpecsList!A:A, B154) &gt; 0, "Yes", "No")</f>
        <v>Yes</v>
      </c>
    </row>
    <row r="155" spans="2:5" hidden="1" x14ac:dyDescent="0.25">
      <c r="B155" t="s">
        <v>1004</v>
      </c>
      <c r="C155" t="s">
        <v>1005</v>
      </c>
      <c r="E155" t="str">
        <f>IF(COUNTIF(QuickSpecsList!A:A, B155) &gt; 0, "Yes", "No")</f>
        <v>Yes</v>
      </c>
    </row>
    <row r="156" spans="2:5" x14ac:dyDescent="0.25">
      <c r="B156" t="s">
        <v>1182</v>
      </c>
      <c r="C156" t="s">
        <v>1183</v>
      </c>
      <c r="E156" t="str">
        <f>IF(COUNTIF(QuickSpecsList!A:A, B156) &gt; 0, "Yes", "No")</f>
        <v>Yes</v>
      </c>
    </row>
    <row r="157" spans="2:5" x14ac:dyDescent="0.25">
      <c r="B157" t="s">
        <v>1184</v>
      </c>
      <c r="C157" t="s">
        <v>1185</v>
      </c>
      <c r="E157" t="str">
        <f>IF(COUNTIF(QuickSpecsList!A:A, B157) &gt; 0, "Yes", "No")</f>
        <v>Yes</v>
      </c>
    </row>
    <row r="158" spans="2:5" x14ac:dyDescent="0.25">
      <c r="B158" t="s">
        <v>1186</v>
      </c>
      <c r="C158" t="s">
        <v>1187</v>
      </c>
      <c r="E158" t="str">
        <f>IF(COUNTIF(QuickSpecsList!A:A, B158) &gt; 0, "Yes", "No")</f>
        <v>Yes</v>
      </c>
    </row>
    <row r="159" spans="2:5" x14ac:dyDescent="0.25">
      <c r="B159" t="s">
        <v>1188</v>
      </c>
      <c r="C159" t="s">
        <v>1189</v>
      </c>
      <c r="E159" t="str">
        <f>IF(COUNTIF(QuickSpecsList!A:A, B159) &gt; 0, "Yes", "No")</f>
        <v>Yes</v>
      </c>
    </row>
    <row r="160" spans="2:5" hidden="1" x14ac:dyDescent="0.25">
      <c r="B160" t="s">
        <v>312</v>
      </c>
      <c r="C160" t="s">
        <v>313</v>
      </c>
      <c r="E160" t="str">
        <f>IF(COUNTIF(QuickSpecsList!A:A, B160) &gt; 0, "Yes", "No")</f>
        <v>Yes</v>
      </c>
    </row>
    <row r="161" spans="2:5" hidden="1" x14ac:dyDescent="0.25">
      <c r="B161" t="s">
        <v>18</v>
      </c>
      <c r="C161" t="s">
        <v>19</v>
      </c>
      <c r="E161" t="str">
        <f>IF(COUNTIF(QuickSpecsList!A:A, B161) &gt; 0, "Yes", "No")</f>
        <v>Yes</v>
      </c>
    </row>
    <row r="162" spans="2:5" x14ac:dyDescent="0.25">
      <c r="B162" t="s">
        <v>1190</v>
      </c>
      <c r="C162" t="s">
        <v>1191</v>
      </c>
      <c r="E162" t="str">
        <f>IF(COUNTIF(QuickSpecsList!A:A, B162) &gt; 0, "Yes", "No")</f>
        <v>Yes</v>
      </c>
    </row>
    <row r="163" spans="2:5" x14ac:dyDescent="0.25">
      <c r="B163" t="s">
        <v>1192</v>
      </c>
      <c r="C163" t="s">
        <v>1193</v>
      </c>
      <c r="E163" t="str">
        <f>IF(COUNTIF(QuickSpecsList!A:A, B163) &gt; 0, "Yes", "No")</f>
        <v>Yes</v>
      </c>
    </row>
    <row r="164" spans="2:5" hidden="1" x14ac:dyDescent="0.25">
      <c r="B164" t="s">
        <v>284</v>
      </c>
      <c r="C164" t="s">
        <v>285</v>
      </c>
      <c r="E164" t="str">
        <f>IF(COUNTIF(QuickSpecsList!A:A, B164) &gt; 0, "Yes", "No")</f>
        <v>Yes</v>
      </c>
    </row>
    <row r="165" spans="2:5" hidden="1" x14ac:dyDescent="0.25">
      <c r="B165" t="s">
        <v>29</v>
      </c>
      <c r="C165" t="s">
        <v>30</v>
      </c>
      <c r="E165" t="str">
        <f>IF(COUNTIF(QuickSpecsList!A:A, B165) &gt; 0, "Yes", "No")</f>
        <v>Yes</v>
      </c>
    </row>
    <row r="166" spans="2:5" hidden="1" x14ac:dyDescent="0.25">
      <c r="B166" t="s">
        <v>984</v>
      </c>
      <c r="C166" t="s">
        <v>985</v>
      </c>
      <c r="E166" t="str">
        <f>IF(COUNTIF(QuickSpecsList!A:A, B166) &gt; 0, "Yes", "No")</f>
        <v>Yes</v>
      </c>
    </row>
    <row r="167" spans="2:5" hidden="1" x14ac:dyDescent="0.25">
      <c r="B167" t="s">
        <v>447</v>
      </c>
      <c r="C167" t="s">
        <v>448</v>
      </c>
      <c r="E167" t="str">
        <f>IF(COUNTIF(QuickSpecsList!A:A, B167) &gt; 0, "Yes", "No")</f>
        <v>Yes</v>
      </c>
    </row>
    <row r="168" spans="2:5" x14ac:dyDescent="0.25">
      <c r="B168" t="s">
        <v>1194</v>
      </c>
      <c r="C168" t="s">
        <v>1195</v>
      </c>
      <c r="E168" t="str">
        <f>IF(COUNTIF(QuickSpecsList!A:A, B168) &gt; 0, "Yes", "No")</f>
        <v>Yes</v>
      </c>
    </row>
    <row r="169" spans="2:5" x14ac:dyDescent="0.25">
      <c r="B169" t="s">
        <v>1196</v>
      </c>
      <c r="C169" t="s">
        <v>1197</v>
      </c>
      <c r="E169" t="str">
        <f>IF(COUNTIF(QuickSpecsList!A:A, B169) &gt; 0, "Yes", "No")</f>
        <v>Yes</v>
      </c>
    </row>
    <row r="170" spans="2:5" x14ac:dyDescent="0.25">
      <c r="B170" t="s">
        <v>1198</v>
      </c>
      <c r="C170" t="s">
        <v>1199</v>
      </c>
      <c r="E170" t="str">
        <f>IF(COUNTIF(QuickSpecsList!A:A, B170) &gt; 0, "Yes", "No")</f>
        <v>Yes</v>
      </c>
    </row>
    <row r="171" spans="2:5" x14ac:dyDescent="0.25">
      <c r="B171" t="s">
        <v>1200</v>
      </c>
      <c r="C171" t="s">
        <v>1201</v>
      </c>
      <c r="E171" t="str">
        <f>IF(COUNTIF(QuickSpecsList!A:A, B171) &gt; 0, "Yes", "No")</f>
        <v>Yes</v>
      </c>
    </row>
    <row r="172" spans="2:5" x14ac:dyDescent="0.25">
      <c r="B172" t="s">
        <v>1160</v>
      </c>
      <c r="C172" t="s">
        <v>1161</v>
      </c>
      <c r="E172" t="str">
        <f>IF(COUNTIF(QuickSpecsList!A:A, B172) &gt; 0, "Yes", "No")</f>
        <v>Yes</v>
      </c>
    </row>
    <row r="173" spans="2:5" x14ac:dyDescent="0.25">
      <c r="B173" t="s">
        <v>1202</v>
      </c>
      <c r="C173" t="s">
        <v>1203</v>
      </c>
      <c r="E173" t="str">
        <f>IF(COUNTIF(QuickSpecsList!A:A, B173) &gt; 0, "Yes", "No")</f>
        <v>Yes</v>
      </c>
    </row>
    <row r="174" spans="2:5" hidden="1" x14ac:dyDescent="0.25">
      <c r="B174" t="s">
        <v>556</v>
      </c>
      <c r="C174" t="s">
        <v>557</v>
      </c>
      <c r="E174" t="str">
        <f>IF(COUNTIF(QuickSpecsList!A:A, B174) &gt; 0, "Yes", "No")</f>
        <v>Yes</v>
      </c>
    </row>
    <row r="175" spans="2:5" x14ac:dyDescent="0.25">
      <c r="B175" t="s">
        <v>1204</v>
      </c>
      <c r="C175" t="s">
        <v>1205</v>
      </c>
      <c r="E175" t="str">
        <f>IF(COUNTIF(QuickSpecsList!A:A, B175) &gt; 0, "Yes", "No")</f>
        <v>Yes</v>
      </c>
    </row>
    <row r="176" spans="2:5" hidden="1" x14ac:dyDescent="0.25">
      <c r="B176" t="s">
        <v>522</v>
      </c>
      <c r="C176" t="s">
        <v>523</v>
      </c>
      <c r="E176" t="str">
        <f>IF(COUNTIF(QuickSpecsList!A:A, B176) &gt; 0, "Yes", "No")</f>
        <v>Yes</v>
      </c>
    </row>
    <row r="177" spans="2:5" hidden="1" x14ac:dyDescent="0.25">
      <c r="B177" t="s">
        <v>227</v>
      </c>
      <c r="C177" t="s">
        <v>228</v>
      </c>
      <c r="E177" t="str">
        <f>IF(COUNTIF(QuickSpecsList!A:A, B177) &gt; 0, "Yes", "No")</f>
        <v>Yes</v>
      </c>
    </row>
    <row r="178" spans="2:5" hidden="1" x14ac:dyDescent="0.25">
      <c r="B178" t="s">
        <v>554</v>
      </c>
      <c r="C178" t="s">
        <v>555</v>
      </c>
      <c r="E178" t="str">
        <f>IF(COUNTIF(QuickSpecsList!A:A, B178) &gt; 0, "Yes", "No")</f>
        <v>Yes</v>
      </c>
    </row>
    <row r="179" spans="2:5" hidden="1" x14ac:dyDescent="0.25">
      <c r="B179" t="s">
        <v>970</v>
      </c>
      <c r="C179" t="s">
        <v>971</v>
      </c>
      <c r="E179" t="str">
        <f>IF(COUNTIF(QuickSpecsList!A:A, B179) &gt; 0, "Yes", "No")</f>
        <v>Yes</v>
      </c>
    </row>
    <row r="180" spans="2:5" hidden="1" x14ac:dyDescent="0.25">
      <c r="B180" t="s">
        <v>583</v>
      </c>
      <c r="C180" t="s">
        <v>584</v>
      </c>
      <c r="E180" t="str">
        <f>IF(COUNTIF(QuickSpecsList!A:A, B180) &gt; 0, "Yes", "No")</f>
        <v>Yes</v>
      </c>
    </row>
    <row r="181" spans="2:5" hidden="1" x14ac:dyDescent="0.25">
      <c r="B181" t="s">
        <v>43</v>
      </c>
      <c r="C181" t="s">
        <v>44</v>
      </c>
      <c r="E181" t="str">
        <f>IF(COUNTIF(QuickSpecsList!A:A, B181) &gt; 0, "Yes", "No")</f>
        <v>Yes</v>
      </c>
    </row>
    <row r="182" spans="2:5" hidden="1" x14ac:dyDescent="0.25">
      <c r="B182" t="s">
        <v>135</v>
      </c>
      <c r="C182" t="s">
        <v>136</v>
      </c>
      <c r="E182" t="str">
        <f>IF(COUNTIF(QuickSpecsList!A:A, B182) &gt; 0, "Yes", "No")</f>
        <v>Yes</v>
      </c>
    </row>
    <row r="183" spans="2:5" hidden="1" x14ac:dyDescent="0.25">
      <c r="B183" t="s">
        <v>261</v>
      </c>
      <c r="C183" t="s">
        <v>262</v>
      </c>
      <c r="E183" t="str">
        <f>IF(COUNTIF(QuickSpecsList!A:A, B183) &gt; 0, "Yes", "No")</f>
        <v>Yes</v>
      </c>
    </row>
    <row r="184" spans="2:5" x14ac:dyDescent="0.25">
      <c r="B184" t="s">
        <v>1206</v>
      </c>
      <c r="C184" t="s">
        <v>1207</v>
      </c>
      <c r="E184" t="str">
        <f>IF(COUNTIF(QuickSpecsList!A:A, B184) &gt; 0, "Yes", "No")</f>
        <v>Yes</v>
      </c>
    </row>
    <row r="185" spans="2:5" hidden="1" x14ac:dyDescent="0.25">
      <c r="B185" t="s">
        <v>699</v>
      </c>
      <c r="C185" t="s">
        <v>700</v>
      </c>
      <c r="E185" t="str">
        <f>IF(COUNTIF(QuickSpecsList!A:A, B185) &gt; 0, "Yes", "No")</f>
        <v>Yes</v>
      </c>
    </row>
    <row r="186" spans="2:5" hidden="1" x14ac:dyDescent="0.25">
      <c r="B186" t="s">
        <v>685</v>
      </c>
      <c r="C186" t="s">
        <v>686</v>
      </c>
      <c r="E186" t="str">
        <f>IF(COUNTIF(QuickSpecsList!A:A, B186) &gt; 0, "Yes", "No")</f>
        <v>Yes</v>
      </c>
    </row>
    <row r="187" spans="2:5" hidden="1" x14ac:dyDescent="0.25">
      <c r="B187" t="s">
        <v>1057</v>
      </c>
      <c r="C187" t="s">
        <v>1058</v>
      </c>
      <c r="E187" t="str">
        <f>IF(COUNTIF(QuickSpecsList!A:A, B187) &gt; 0, "Yes", "No")</f>
        <v>Yes</v>
      </c>
    </row>
    <row r="188" spans="2:5" hidden="1" x14ac:dyDescent="0.25">
      <c r="B188" t="s">
        <v>1050</v>
      </c>
      <c r="C188" t="s">
        <v>578</v>
      </c>
      <c r="E188" t="str">
        <f>IF(COUNTIF(QuickSpecsList!A:A, B188) &gt; 0, "Yes", "No")</f>
        <v>Yes</v>
      </c>
    </row>
    <row r="189" spans="2:5" hidden="1" x14ac:dyDescent="0.25">
      <c r="B189" t="s">
        <v>884</v>
      </c>
      <c r="C189" t="s">
        <v>885</v>
      </c>
      <c r="E189" t="str">
        <f>IF(COUNTIF(QuickSpecsList!A:A, B189) &gt; 0, "Yes", "No")</f>
        <v>Yes</v>
      </c>
    </row>
    <row r="190" spans="2:5" hidden="1" x14ac:dyDescent="0.25">
      <c r="B190" t="s">
        <v>273</v>
      </c>
      <c r="C190" t="s">
        <v>274</v>
      </c>
      <c r="E190" t="str">
        <f>IF(COUNTIF(QuickSpecsList!A:A, B190) &gt; 0, "Yes", "No")</f>
        <v>Yes</v>
      </c>
    </row>
    <row r="191" spans="2:5" hidden="1" x14ac:dyDescent="0.25">
      <c r="B191" t="s">
        <v>477</v>
      </c>
      <c r="C191" t="s">
        <v>478</v>
      </c>
      <c r="E191" t="str">
        <f>IF(COUNTIF(QuickSpecsList!A:A, B191) &gt; 0, "Yes", "No")</f>
        <v>Yes</v>
      </c>
    </row>
    <row r="192" spans="2:5" x14ac:dyDescent="0.25">
      <c r="B192" t="s">
        <v>1162</v>
      </c>
      <c r="C192" t="s">
        <v>1163</v>
      </c>
      <c r="E192" t="str">
        <f>IF(COUNTIF(QuickSpecsList!A:A, B192) &gt; 0, "Yes", "No")</f>
        <v>Yes</v>
      </c>
    </row>
    <row r="193" spans="2:5" hidden="1" x14ac:dyDescent="0.25">
      <c r="B193" t="s">
        <v>1026</v>
      </c>
      <c r="C193" t="s">
        <v>1027</v>
      </c>
      <c r="E193" t="str">
        <f>IF(COUNTIF(QuickSpecsList!A:A, B193) &gt; 0, "Yes", "No")</f>
        <v>Yes</v>
      </c>
    </row>
    <row r="194" spans="2:5" hidden="1" x14ac:dyDescent="0.25">
      <c r="B194" t="s">
        <v>721</v>
      </c>
      <c r="C194" t="s">
        <v>722</v>
      </c>
      <c r="E194" t="str">
        <f>IF(COUNTIF(QuickSpecsList!A:A, B194) &gt; 0, "Yes", "No")</f>
        <v>Yes</v>
      </c>
    </row>
    <row r="195" spans="2:5" hidden="1" x14ac:dyDescent="0.25">
      <c r="B195" t="s">
        <v>653</v>
      </c>
      <c r="C195" t="s">
        <v>654</v>
      </c>
      <c r="E195" t="str">
        <f>IF(COUNTIF(QuickSpecsList!A:A, B195) &gt; 0, "Yes", "No")</f>
        <v>Yes</v>
      </c>
    </row>
    <row r="196" spans="2:5" hidden="1" x14ac:dyDescent="0.25">
      <c r="B196" t="s">
        <v>715</v>
      </c>
      <c r="C196" t="s">
        <v>716</v>
      </c>
      <c r="E196" t="str">
        <f>IF(COUNTIF(QuickSpecsList!A:A, B196) &gt; 0, "Yes", "No")</f>
        <v>Yes</v>
      </c>
    </row>
    <row r="197" spans="2:5" hidden="1" x14ac:dyDescent="0.25">
      <c r="B197" t="s">
        <v>481</v>
      </c>
      <c r="C197" t="s">
        <v>482</v>
      </c>
      <c r="E197" t="str">
        <f>IF(COUNTIF(QuickSpecsList!A:A, B197) &gt; 0, "Yes", "No")</f>
        <v>Yes</v>
      </c>
    </row>
    <row r="198" spans="2:5" hidden="1" x14ac:dyDescent="0.25">
      <c r="B198" t="s">
        <v>267</v>
      </c>
      <c r="C198" t="s">
        <v>268</v>
      </c>
      <c r="E198" t="str">
        <f>IF(COUNTIF(QuickSpecsList!A:A, B198) &gt; 0, "Yes", "No")</f>
        <v>Yes</v>
      </c>
    </row>
    <row r="199" spans="2:5" x14ac:dyDescent="0.25">
      <c r="B199" t="s">
        <v>1208</v>
      </c>
      <c r="C199" t="s">
        <v>268</v>
      </c>
      <c r="E199" t="str">
        <f>IF(COUNTIF(QuickSpecsList!A:A, B199) &gt; 0, "Yes", "No")</f>
        <v>Yes</v>
      </c>
    </row>
    <row r="200" spans="2:5" x14ac:dyDescent="0.25">
      <c r="B200" t="s">
        <v>1209</v>
      </c>
      <c r="C200" t="s">
        <v>268</v>
      </c>
      <c r="E200" t="str">
        <f>IF(COUNTIF(QuickSpecsList!A:A, B200) &gt; 0, "Yes", "No")</f>
        <v>Yes</v>
      </c>
    </row>
    <row r="201" spans="2:5" x14ac:dyDescent="0.25">
      <c r="B201" t="s">
        <v>1210</v>
      </c>
      <c r="C201" t="s">
        <v>1211</v>
      </c>
      <c r="E201" t="str">
        <f>IF(COUNTIF(QuickSpecsList!A:A, B201) &gt; 0, "Yes", "No")</f>
        <v>Yes</v>
      </c>
    </row>
    <row r="202" spans="2:5" hidden="1" x14ac:dyDescent="0.25">
      <c r="B202" t="s">
        <v>288</v>
      </c>
      <c r="C202" t="s">
        <v>289</v>
      </c>
      <c r="E202" t="str">
        <f>IF(COUNTIF(QuickSpecsList!A:A, B202) &gt; 0, "Yes", "No")</f>
        <v>Yes</v>
      </c>
    </row>
    <row r="203" spans="2:5" hidden="1" x14ac:dyDescent="0.25">
      <c r="B203" t="s">
        <v>577</v>
      </c>
      <c r="C203" t="s">
        <v>578</v>
      </c>
      <c r="E203" t="str">
        <f>IF(COUNTIF(QuickSpecsList!A:A, B203) &gt; 0, "Yes", "No")</f>
        <v>Yes</v>
      </c>
    </row>
    <row r="204" spans="2:5" hidden="1" x14ac:dyDescent="0.25">
      <c r="B204" t="s">
        <v>837</v>
      </c>
      <c r="C204" t="s">
        <v>838</v>
      </c>
      <c r="E204" t="str">
        <f>IF(COUNTIF(QuickSpecsList!A:A, B204) &gt; 0, "Yes", "No")</f>
        <v>Yes</v>
      </c>
    </row>
    <row r="205" spans="2:5" hidden="1" x14ac:dyDescent="0.25">
      <c r="B205" t="s">
        <v>141</v>
      </c>
      <c r="C205" t="s">
        <v>142</v>
      </c>
      <c r="E205" t="str">
        <f>IF(COUNTIF(QuickSpecsList!A:A, B205) &gt; 0, "Yes", "No")</f>
        <v>Yes</v>
      </c>
    </row>
    <row r="206" spans="2:5" hidden="1" x14ac:dyDescent="0.25">
      <c r="B206" t="s">
        <v>1046</v>
      </c>
      <c r="C206" t="s">
        <v>1047</v>
      </c>
      <c r="E206" t="str">
        <f>IF(COUNTIF(QuickSpecsList!A:A, B206) &gt; 0, "Yes", "No")</f>
        <v>Yes</v>
      </c>
    </row>
    <row r="207" spans="2:5" hidden="1" x14ac:dyDescent="0.25">
      <c r="B207" t="s">
        <v>899</v>
      </c>
      <c r="C207" t="s">
        <v>900</v>
      </c>
      <c r="E207" t="str">
        <f>IF(COUNTIF(QuickSpecsList!A:A, B207) &gt; 0, "Yes", "No")</f>
        <v>Yes</v>
      </c>
    </row>
    <row r="208" spans="2:5" hidden="1" x14ac:dyDescent="0.25">
      <c r="B208" t="s">
        <v>271</v>
      </c>
      <c r="C208" t="s">
        <v>272</v>
      </c>
      <c r="E208" t="str">
        <f>IF(COUNTIF(QuickSpecsList!A:A, B208) &gt; 0, "Yes", "No")</f>
        <v>Yes</v>
      </c>
    </row>
    <row r="209" spans="2:5" hidden="1" x14ac:dyDescent="0.25">
      <c r="B209" t="s">
        <v>229</v>
      </c>
      <c r="C209" t="s">
        <v>230</v>
      </c>
      <c r="E209" t="str">
        <f>IF(COUNTIF(QuickSpecsList!A:A, B209) &gt; 0, "Yes", "No")</f>
        <v>Yes</v>
      </c>
    </row>
    <row r="210" spans="2:5" hidden="1" x14ac:dyDescent="0.25">
      <c r="B210" t="s">
        <v>190</v>
      </c>
      <c r="C210" t="s">
        <v>191</v>
      </c>
      <c r="E210" t="str">
        <f>IF(COUNTIF(QuickSpecsList!A:A, B210) &gt; 0, "Yes", "No")</f>
        <v>Yes</v>
      </c>
    </row>
    <row r="211" spans="2:5" hidden="1" x14ac:dyDescent="0.25">
      <c r="B211" t="s">
        <v>129</v>
      </c>
      <c r="C211" t="s">
        <v>130</v>
      </c>
      <c r="E211" t="str">
        <f>IF(COUNTIF(QuickSpecsList!A:A, B211) &gt; 0, "Yes", "No")</f>
        <v>Yes</v>
      </c>
    </row>
    <row r="212" spans="2:5" hidden="1" x14ac:dyDescent="0.25">
      <c r="B212" t="s">
        <v>352</v>
      </c>
      <c r="C212" t="s">
        <v>353</v>
      </c>
      <c r="E212" t="str">
        <f>IF(COUNTIF(QuickSpecsList!A:A, B212) &gt; 0, "Yes", "No")</f>
        <v>Yes</v>
      </c>
    </row>
    <row r="213" spans="2:5" hidden="1" x14ac:dyDescent="0.25">
      <c r="B213" t="s">
        <v>655</v>
      </c>
      <c r="C213" t="s">
        <v>656</v>
      </c>
      <c r="E213" t="str">
        <f>IF(COUNTIF(QuickSpecsList!A:A, B213) &gt; 0, "Yes", "No")</f>
        <v>Yes</v>
      </c>
    </row>
    <row r="214" spans="2:5" hidden="1" x14ac:dyDescent="0.25">
      <c r="B214" t="s">
        <v>365</v>
      </c>
      <c r="C214" t="s">
        <v>366</v>
      </c>
      <c r="E214" t="str">
        <f>IF(COUNTIF(QuickSpecsList!A:A, B214) &gt; 0, "Yes", "No")</f>
        <v>Yes</v>
      </c>
    </row>
    <row r="215" spans="2:5" hidden="1" x14ac:dyDescent="0.25">
      <c r="B215" t="s">
        <v>280</v>
      </c>
      <c r="C215" t="s">
        <v>281</v>
      </c>
      <c r="E215" t="str">
        <f>IF(COUNTIF(QuickSpecsList!A:A, B215) &gt; 0, "Yes", "No")</f>
        <v>Yes</v>
      </c>
    </row>
    <row r="216" spans="2:5" hidden="1" x14ac:dyDescent="0.25">
      <c r="B216" t="s">
        <v>328</v>
      </c>
      <c r="C216" t="s">
        <v>329</v>
      </c>
      <c r="E216" t="str">
        <f>IF(COUNTIF(QuickSpecsList!A:A, B216) &gt; 0, "Yes", "No")</f>
        <v>Yes</v>
      </c>
    </row>
    <row r="217" spans="2:5" hidden="1" x14ac:dyDescent="0.25">
      <c r="B217" t="s">
        <v>703</v>
      </c>
      <c r="C217" t="s">
        <v>704</v>
      </c>
      <c r="E217" t="str">
        <f>IF(COUNTIF(QuickSpecsList!A:A, B217) &gt; 0, "Yes", "No")</f>
        <v>Yes</v>
      </c>
    </row>
    <row r="218" spans="2:5" hidden="1" x14ac:dyDescent="0.25">
      <c r="B218" t="s">
        <v>253</v>
      </c>
      <c r="C218" t="s">
        <v>254</v>
      </c>
      <c r="E218" t="str">
        <f>IF(COUNTIF(QuickSpecsList!A:A, B218) &gt; 0, "Yes", "No")</f>
        <v>Yes</v>
      </c>
    </row>
    <row r="219" spans="2:5" hidden="1" x14ac:dyDescent="0.25">
      <c r="B219" t="s">
        <v>350</v>
      </c>
      <c r="C219" t="s">
        <v>351</v>
      </c>
      <c r="E219" t="str">
        <f>IF(COUNTIF(QuickSpecsList!A:A, B219) &gt; 0, "Yes", "No")</f>
        <v>Yes</v>
      </c>
    </row>
    <row r="220" spans="2:5" hidden="1" x14ac:dyDescent="0.25">
      <c r="B220" t="s">
        <v>679</v>
      </c>
      <c r="C220" t="s">
        <v>680</v>
      </c>
      <c r="E220" t="str">
        <f>IF(COUNTIF(QuickSpecsList!A:A, B220) &gt; 0, "Yes", "No")</f>
        <v>Yes</v>
      </c>
    </row>
    <row r="221" spans="2:5" hidden="1" x14ac:dyDescent="0.25">
      <c r="B221" t="s">
        <v>255</v>
      </c>
      <c r="C221" t="s">
        <v>256</v>
      </c>
      <c r="E221" t="str">
        <f>IF(COUNTIF(QuickSpecsList!A:A, B221) &gt; 0, "Yes", "No")</f>
        <v>Yes</v>
      </c>
    </row>
    <row r="222" spans="2:5" hidden="1" x14ac:dyDescent="0.25">
      <c r="B222" t="s">
        <v>251</v>
      </c>
      <c r="C222" t="s">
        <v>252</v>
      </c>
      <c r="E222" t="str">
        <f>IF(COUNTIF(QuickSpecsList!A:A, B222) &gt; 0, "Yes", "No")</f>
        <v>Yes</v>
      </c>
    </row>
    <row r="223" spans="2:5" hidden="1" x14ac:dyDescent="0.25">
      <c r="B223" t="s">
        <v>391</v>
      </c>
      <c r="C223" t="s">
        <v>392</v>
      </c>
      <c r="E223" t="str">
        <f>IF(COUNTIF(QuickSpecsList!A:A, B223) &gt; 0, "Yes", "No")</f>
        <v>Yes</v>
      </c>
    </row>
    <row r="224" spans="2:5" hidden="1" x14ac:dyDescent="0.25">
      <c r="B224" t="s">
        <v>781</v>
      </c>
      <c r="C224" t="s">
        <v>782</v>
      </c>
      <c r="E224" t="str">
        <f>IF(COUNTIF(QuickSpecsList!A:A, B224) &gt; 0, "Yes", "No")</f>
        <v>Yes</v>
      </c>
    </row>
    <row r="225" spans="2:5" hidden="1" x14ac:dyDescent="0.25">
      <c r="B225" t="s">
        <v>282</v>
      </c>
      <c r="C225" t="s">
        <v>283</v>
      </c>
      <c r="E225" t="str">
        <f>IF(COUNTIF(QuickSpecsList!A:A, B225) &gt; 0, "Yes", "No")</f>
        <v>Yes</v>
      </c>
    </row>
    <row r="226" spans="2:5" x14ac:dyDescent="0.25">
      <c r="B226" t="s">
        <v>1164</v>
      </c>
      <c r="C226" t="s">
        <v>1165</v>
      </c>
      <c r="E226" t="str">
        <f>IF(COUNTIF(QuickSpecsList!A:A, B226) &gt; 0, "Yes", "No")</f>
        <v>Yes</v>
      </c>
    </row>
    <row r="227" spans="2:5" x14ac:dyDescent="0.25">
      <c r="B227" t="s">
        <v>1212</v>
      </c>
      <c r="C227" t="s">
        <v>1213</v>
      </c>
      <c r="E227" t="str">
        <f>IF(COUNTIF(QuickSpecsList!A:A, B227) &gt; 0, "Yes", "No")</f>
        <v>Yes</v>
      </c>
    </row>
    <row r="228" spans="2:5" x14ac:dyDescent="0.25">
      <c r="B228" t="s">
        <v>1214</v>
      </c>
      <c r="C228" t="s">
        <v>1215</v>
      </c>
      <c r="E228" t="str">
        <f>IF(COUNTIF(QuickSpecsList!A:A, B228) &gt; 0, "Yes", "No")</f>
        <v>Yes</v>
      </c>
    </row>
    <row r="229" spans="2:5" hidden="1" x14ac:dyDescent="0.25">
      <c r="B229" t="s">
        <v>104</v>
      </c>
      <c r="C229" t="s">
        <v>105</v>
      </c>
      <c r="E229" t="str">
        <f>IF(COUNTIF(QuickSpecsList!A:A, B229) &gt; 0, "Yes", "No")</f>
        <v>Yes</v>
      </c>
    </row>
    <row r="230" spans="2:5" hidden="1" x14ac:dyDescent="0.25">
      <c r="B230" t="s">
        <v>974</v>
      </c>
      <c r="C230" t="s">
        <v>975</v>
      </c>
      <c r="E230" t="str">
        <f>IF(COUNTIF(QuickSpecsList!A:A, B230) &gt; 0, "Yes", "No")</f>
        <v>Yes</v>
      </c>
    </row>
    <row r="231" spans="2:5" hidden="1" x14ac:dyDescent="0.25">
      <c r="B231" t="s">
        <v>106</v>
      </c>
      <c r="C231" t="s">
        <v>107</v>
      </c>
      <c r="E231" t="str">
        <f>IF(COUNTIF(QuickSpecsList!A:A, B231) &gt; 0, "Yes", "No")</f>
        <v>Yes</v>
      </c>
    </row>
    <row r="232" spans="2:5" hidden="1" x14ac:dyDescent="0.25">
      <c r="B232" t="s">
        <v>100</v>
      </c>
      <c r="C232" t="s">
        <v>101</v>
      </c>
      <c r="E232" t="str">
        <f>IF(COUNTIF(QuickSpecsList!A:A, B232) &gt; 0, "Yes", "No")</f>
        <v>Yes</v>
      </c>
    </row>
    <row r="233" spans="2:5" hidden="1" x14ac:dyDescent="0.25">
      <c r="B233" t="s">
        <v>471</v>
      </c>
      <c r="C233" t="s">
        <v>472</v>
      </c>
      <c r="E233" t="str">
        <f>IF(COUNTIF(QuickSpecsList!A:A, B233) &gt; 0, "Yes", "No")</f>
        <v>Yes</v>
      </c>
    </row>
    <row r="234" spans="2:5" hidden="1" x14ac:dyDescent="0.25">
      <c r="B234" t="s">
        <v>98</v>
      </c>
      <c r="C234" t="s">
        <v>99</v>
      </c>
      <c r="E234" t="str">
        <f>IF(COUNTIF(QuickSpecsList!A:A, B234) &gt; 0, "Yes", "No")</f>
        <v>Yes</v>
      </c>
    </row>
    <row r="235" spans="2:5" hidden="1" x14ac:dyDescent="0.25">
      <c r="B235" t="s">
        <v>990</v>
      </c>
      <c r="C235" t="s">
        <v>991</v>
      </c>
      <c r="E235" t="str">
        <f>IF(COUNTIF(QuickSpecsList!A:A, B235) &gt; 0, "Yes", "No")</f>
        <v>Yes</v>
      </c>
    </row>
    <row r="236" spans="2:5" hidden="1" x14ac:dyDescent="0.25">
      <c r="B236" t="s">
        <v>487</v>
      </c>
      <c r="C236" t="s">
        <v>488</v>
      </c>
      <c r="E236" t="str">
        <f>IF(COUNTIF(QuickSpecsList!A:A, B236) &gt; 0, "Yes", "No")</f>
        <v>Yes</v>
      </c>
    </row>
    <row r="237" spans="2:5" hidden="1" x14ac:dyDescent="0.25">
      <c r="B237" t="s">
        <v>489</v>
      </c>
      <c r="C237" t="s">
        <v>490</v>
      </c>
      <c r="E237" t="str">
        <f>IF(COUNTIF(QuickSpecsList!A:A, B237) &gt; 0, "Yes", "No")</f>
        <v>Yes</v>
      </c>
    </row>
    <row r="238" spans="2:5" hidden="1" x14ac:dyDescent="0.25">
      <c r="B238" t="s">
        <v>263</v>
      </c>
      <c r="C238" t="s">
        <v>264</v>
      </c>
      <c r="E238" t="str">
        <f>IF(COUNTIF(QuickSpecsList!A:A, B238) &gt; 0, "Yes", "No")</f>
        <v>Yes</v>
      </c>
    </row>
    <row r="239" spans="2:5" hidden="1" x14ac:dyDescent="0.25">
      <c r="B239" t="s">
        <v>986</v>
      </c>
      <c r="C239" t="s">
        <v>987</v>
      </c>
      <c r="E239" t="str">
        <f>IF(COUNTIF(QuickSpecsList!A:A, B239) &gt; 0, "Yes", "No")</f>
        <v>Yes</v>
      </c>
    </row>
    <row r="240" spans="2:5" hidden="1" x14ac:dyDescent="0.25">
      <c r="B240" t="s">
        <v>516</v>
      </c>
      <c r="C240" t="s">
        <v>517</v>
      </c>
      <c r="E240" t="str">
        <f>IF(COUNTIF(QuickSpecsList!A:A, B240) &gt; 0, "Yes", "No")</f>
        <v>Yes</v>
      </c>
    </row>
    <row r="241" spans="2:5" hidden="1" x14ac:dyDescent="0.25">
      <c r="B241" t="s">
        <v>992</v>
      </c>
      <c r="C241" t="s">
        <v>993</v>
      </c>
      <c r="E241" t="str">
        <f>IF(COUNTIF(QuickSpecsList!A:A, B241) &gt; 0, "Yes", "No")</f>
        <v>Yes</v>
      </c>
    </row>
    <row r="242" spans="2:5" hidden="1" x14ac:dyDescent="0.25">
      <c r="B242" t="s">
        <v>976</v>
      </c>
      <c r="C242" t="s">
        <v>977</v>
      </c>
      <c r="E242" t="str">
        <f>IF(COUNTIF(QuickSpecsList!A:A, B242) &gt; 0, "Yes", "No")</f>
        <v>Yes</v>
      </c>
    </row>
    <row r="243" spans="2:5" hidden="1" x14ac:dyDescent="0.25">
      <c r="B243" t="s">
        <v>528</v>
      </c>
      <c r="C243" t="s">
        <v>529</v>
      </c>
      <c r="E243" t="str">
        <f>IF(COUNTIF(QuickSpecsList!A:A, B243) &gt; 0, "Yes", "No")</f>
        <v>Yes</v>
      </c>
    </row>
    <row r="244" spans="2:5" hidden="1" x14ac:dyDescent="0.25">
      <c r="B244" t="s">
        <v>994</v>
      </c>
      <c r="C244" t="s">
        <v>995</v>
      </c>
      <c r="E244" t="str">
        <f>IF(COUNTIF(QuickSpecsList!A:A, B244) &gt; 0, "Yes", "No")</f>
        <v>Yes</v>
      </c>
    </row>
    <row r="245" spans="2:5" hidden="1" x14ac:dyDescent="0.25">
      <c r="B245" t="s">
        <v>233</v>
      </c>
      <c r="C245" t="s">
        <v>234</v>
      </c>
      <c r="E245" t="str">
        <f>IF(COUNTIF(QuickSpecsList!A:A, B245) &gt; 0, "Yes", "No")</f>
        <v>Yes</v>
      </c>
    </row>
    <row r="246" spans="2:5" hidden="1" x14ac:dyDescent="0.25">
      <c r="B246" t="s">
        <v>515</v>
      </c>
      <c r="C246" t="s">
        <v>82</v>
      </c>
      <c r="E246" t="str">
        <f>IF(COUNTIF(QuickSpecsList!A:A, B246) &gt; 0, "Yes", "No")</f>
        <v>Yes</v>
      </c>
    </row>
    <row r="247" spans="2:5" hidden="1" x14ac:dyDescent="0.25">
      <c r="B247" t="s">
        <v>841</v>
      </c>
      <c r="C247" t="s">
        <v>842</v>
      </c>
      <c r="E247" t="str">
        <f>IF(COUNTIF(QuickSpecsList!A:A, B247) &gt; 0, "Yes", "No")</f>
        <v>Yes</v>
      </c>
    </row>
    <row r="248" spans="2:5" hidden="1" x14ac:dyDescent="0.25">
      <c r="B248" t="s">
        <v>96</v>
      </c>
      <c r="C248" t="s">
        <v>97</v>
      </c>
      <c r="E248" t="str">
        <f>IF(COUNTIF(QuickSpecsList!A:A, B248) &gt; 0, "Yes", "No")</f>
        <v>Yes</v>
      </c>
    </row>
    <row r="249" spans="2:5" hidden="1" x14ac:dyDescent="0.25">
      <c r="B249" t="s">
        <v>483</v>
      </c>
      <c r="C249" t="s">
        <v>484</v>
      </c>
      <c r="E249" t="str">
        <f>IF(COUNTIF(QuickSpecsList!A:A, B249) &gt; 0, "Yes", "No")</f>
        <v>Yes</v>
      </c>
    </row>
    <row r="250" spans="2:5" hidden="1" x14ac:dyDescent="0.25">
      <c r="B250" t="s">
        <v>998</v>
      </c>
      <c r="C250" t="s">
        <v>999</v>
      </c>
      <c r="E250" t="str">
        <f>IF(COUNTIF(QuickSpecsList!A:A, B250) &gt; 0, "Yes", "No")</f>
        <v>Yes</v>
      </c>
    </row>
    <row r="251" spans="2:5" hidden="1" x14ac:dyDescent="0.25">
      <c r="B251" t="s">
        <v>296</v>
      </c>
      <c r="C251" t="s">
        <v>297</v>
      </c>
      <c r="E251" t="str">
        <f>IF(COUNTIF(QuickSpecsList!A:A, B251) &gt; 0, "Yes", "No")</f>
        <v>Yes</v>
      </c>
    </row>
    <row r="252" spans="2:5" hidden="1" x14ac:dyDescent="0.25">
      <c r="B252" t="s">
        <v>220</v>
      </c>
      <c r="C252" t="s">
        <v>221</v>
      </c>
      <c r="E252" t="str">
        <f>IF(COUNTIF(QuickSpecsList!A:A, B252) &gt; 0, "Yes", "No")</f>
        <v>Yes</v>
      </c>
    </row>
    <row r="253" spans="2:5" hidden="1" x14ac:dyDescent="0.25">
      <c r="B253" t="s">
        <v>304</v>
      </c>
      <c r="C253" t="s">
        <v>305</v>
      </c>
      <c r="E253" t="str">
        <f>IF(COUNTIF(QuickSpecsList!A:A, B253) &gt; 0, "Yes", "No")</f>
        <v>Yes</v>
      </c>
    </row>
    <row r="254" spans="2:5" hidden="1" x14ac:dyDescent="0.25">
      <c r="B254" t="s">
        <v>988</v>
      </c>
      <c r="C254" t="s">
        <v>989</v>
      </c>
      <c r="E254" t="str">
        <f>IF(COUNTIF(QuickSpecsList!A:A, B254) &gt; 0, "Yes", "No")</f>
        <v>Yes</v>
      </c>
    </row>
    <row r="255" spans="2:5" hidden="1" x14ac:dyDescent="0.25">
      <c r="B255" t="s">
        <v>269</v>
      </c>
      <c r="C255" t="s">
        <v>270</v>
      </c>
      <c r="E255" t="str">
        <f>IF(COUNTIF(QuickSpecsList!A:A, B255) &gt; 0, "Yes", "No")</f>
        <v>Yes</v>
      </c>
    </row>
    <row r="256" spans="2:5" hidden="1" x14ac:dyDescent="0.25">
      <c r="B256" t="s">
        <v>26</v>
      </c>
      <c r="C256" t="s">
        <v>27</v>
      </c>
      <c r="E256" t="str">
        <f>IF(COUNTIF(QuickSpecsList!A:A, B256) &gt; 0, "Yes", "No")</f>
        <v>Yes</v>
      </c>
    </row>
    <row r="257" spans="2:5" hidden="1" x14ac:dyDescent="0.25">
      <c r="B257" t="s">
        <v>499</v>
      </c>
      <c r="C257" t="s">
        <v>500</v>
      </c>
      <c r="E257" t="str">
        <f>IF(COUNTIF(QuickSpecsList!A:A, B257) &gt; 0, "Yes", "No")</f>
        <v>Yes</v>
      </c>
    </row>
    <row r="258" spans="2:5" hidden="1" x14ac:dyDescent="0.25">
      <c r="B258" t="s">
        <v>497</v>
      </c>
      <c r="C258" t="s">
        <v>498</v>
      </c>
      <c r="E258" t="str">
        <f>IF(COUNTIF(QuickSpecsList!A:A, B258) &gt; 0, "Yes", "No")</f>
        <v>Yes</v>
      </c>
    </row>
    <row r="259" spans="2:5" hidden="1" x14ac:dyDescent="0.25">
      <c r="B259" t="s">
        <v>503</v>
      </c>
      <c r="C259" t="s">
        <v>504</v>
      </c>
      <c r="E259" t="str">
        <f>IF(COUNTIF(QuickSpecsList!A:A, B259) &gt; 0, "Yes", "No")</f>
        <v>Yes</v>
      </c>
    </row>
    <row r="260" spans="2:5" hidden="1" x14ac:dyDescent="0.25">
      <c r="B260" t="s">
        <v>127</v>
      </c>
      <c r="C260" t="s">
        <v>128</v>
      </c>
      <c r="E260" t="str">
        <f>IF(COUNTIF(QuickSpecsList!A:A, B260) &gt; 0, "Yes", "No")</f>
        <v>Yes</v>
      </c>
    </row>
    <row r="261" spans="2:5" hidden="1" x14ac:dyDescent="0.25">
      <c r="B261" t="s">
        <v>641</v>
      </c>
      <c r="C261" t="s">
        <v>642</v>
      </c>
      <c r="E261" t="str">
        <f>IF(COUNTIF(QuickSpecsList!A:A, B261) &gt; 0, "Yes", "No")</f>
        <v>Yes</v>
      </c>
    </row>
    <row r="262" spans="2:5" hidden="1" x14ac:dyDescent="0.25">
      <c r="B262" t="s">
        <v>501</v>
      </c>
      <c r="C262" t="s">
        <v>502</v>
      </c>
      <c r="E262" t="str">
        <f>IF(COUNTIF(QuickSpecsList!A:A, B262) &gt; 0, "Yes", "No")</f>
        <v>Yes</v>
      </c>
    </row>
    <row r="263" spans="2:5" hidden="1" x14ac:dyDescent="0.25">
      <c r="B263" t="s">
        <v>511</v>
      </c>
      <c r="C263" t="s">
        <v>512</v>
      </c>
      <c r="E263" t="str">
        <f>IF(COUNTIF(QuickSpecsList!A:A, B263) &gt; 0, "Yes", "No")</f>
        <v>Yes</v>
      </c>
    </row>
    <row r="264" spans="2:5" hidden="1" x14ac:dyDescent="0.25">
      <c r="B264" t="s">
        <v>966</v>
      </c>
      <c r="C264" t="s">
        <v>967</v>
      </c>
      <c r="E264" t="str">
        <f>IF(COUNTIF(QuickSpecsList!A:A, B264) &gt; 0, "Yes", "No")</f>
        <v>Yes</v>
      </c>
    </row>
    <row r="265" spans="2:5" hidden="1" x14ac:dyDescent="0.25">
      <c r="B265" t="s">
        <v>874</v>
      </c>
      <c r="C265" t="s">
        <v>875</v>
      </c>
      <c r="E265" t="str">
        <f>IF(COUNTIF(QuickSpecsList!A:A, B265) &gt; 0, "Yes", "No")</f>
        <v>Yes</v>
      </c>
    </row>
    <row r="266" spans="2:5" hidden="1" x14ac:dyDescent="0.25">
      <c r="B266" t="s">
        <v>801</v>
      </c>
      <c r="C266" t="s">
        <v>802</v>
      </c>
      <c r="E266" t="str">
        <f>IF(COUNTIF(QuickSpecsList!A:A, B266) &gt; 0, "Yes", "No")</f>
        <v>Yes</v>
      </c>
    </row>
    <row r="267" spans="2:5" hidden="1" x14ac:dyDescent="0.25">
      <c r="B267" t="s">
        <v>294</v>
      </c>
      <c r="C267" t="s">
        <v>295</v>
      </c>
      <c r="E267" t="str">
        <f>IF(COUNTIF(QuickSpecsList!A:A, B267) &gt; 0, "Yes", "No")</f>
        <v>Yes</v>
      </c>
    </row>
    <row r="268" spans="2:5" hidden="1" x14ac:dyDescent="0.25">
      <c r="B268" t="s">
        <v>950</v>
      </c>
      <c r="C268" t="s">
        <v>951</v>
      </c>
      <c r="E268" t="str">
        <f>IF(COUNTIF(QuickSpecsList!A:A, B268) &gt; 0, "Yes", "No")</f>
        <v>Yes</v>
      </c>
    </row>
    <row r="269" spans="2:5" hidden="1" x14ac:dyDescent="0.25">
      <c r="B269" t="s">
        <v>83</v>
      </c>
      <c r="C269" t="s">
        <v>84</v>
      </c>
      <c r="E269" t="str">
        <f>IF(COUNTIF(QuickSpecsList!A:A, B269) &gt; 0, "Yes", "No")</f>
        <v>Yes</v>
      </c>
    </row>
    <row r="270" spans="2:5" hidden="1" x14ac:dyDescent="0.25">
      <c r="B270" t="s">
        <v>119</v>
      </c>
      <c r="C270" t="s">
        <v>120</v>
      </c>
      <c r="E270" t="str">
        <f>IF(COUNTIF(QuickSpecsList!A:A, B270) &gt; 0, "Yes", "No")</f>
        <v>Yes</v>
      </c>
    </row>
    <row r="271" spans="2:5" hidden="1" x14ac:dyDescent="0.25">
      <c r="B271" t="s">
        <v>581</v>
      </c>
      <c r="C271" t="s">
        <v>582</v>
      </c>
      <c r="E271" t="str">
        <f>IF(COUNTIF(QuickSpecsList!A:A, B271) &gt; 0, "Yes", "No")</f>
        <v>Yes</v>
      </c>
    </row>
    <row r="272" spans="2:5" hidden="1" x14ac:dyDescent="0.25">
      <c r="B272" t="s">
        <v>847</v>
      </c>
      <c r="C272" t="s">
        <v>848</v>
      </c>
      <c r="E272" t="str">
        <f>IF(COUNTIF(QuickSpecsList!A:A, B272) &gt; 0, "Yes", "No")</f>
        <v>Yes</v>
      </c>
    </row>
    <row r="273" spans="2:5" hidden="1" x14ac:dyDescent="0.25">
      <c r="B273" t="s">
        <v>524</v>
      </c>
      <c r="C273" t="s">
        <v>525</v>
      </c>
      <c r="E273" t="str">
        <f>IF(COUNTIF(QuickSpecsList!A:A, B273) &gt; 0, "Yes", "No")</f>
        <v>Yes</v>
      </c>
    </row>
    <row r="274" spans="2:5" hidden="1" x14ac:dyDescent="0.25">
      <c r="B274" t="s">
        <v>948</v>
      </c>
      <c r="C274" t="s">
        <v>949</v>
      </c>
      <c r="E274" t="str">
        <f>IF(COUNTIF(QuickSpecsList!A:A, B274) &gt; 0, "Yes", "No")</f>
        <v>Yes</v>
      </c>
    </row>
    <row r="275" spans="2:5" hidden="1" x14ac:dyDescent="0.25">
      <c r="B275" t="s">
        <v>300</v>
      </c>
      <c r="C275" t="s">
        <v>301</v>
      </c>
      <c r="E275" t="str">
        <f>IF(COUNTIF(QuickSpecsList!A:A, B275) &gt; 0, "Yes", "No")</f>
        <v>Yes</v>
      </c>
    </row>
    <row r="276" spans="2:5" hidden="1" x14ac:dyDescent="0.25">
      <c r="B276" t="s">
        <v>121</v>
      </c>
      <c r="C276" t="s">
        <v>122</v>
      </c>
      <c r="E276" t="str">
        <f>IF(COUNTIF(QuickSpecsList!A:A, B276) &gt; 0, "Yes", "No")</f>
        <v>Yes</v>
      </c>
    </row>
    <row r="277" spans="2:5" hidden="1" x14ac:dyDescent="0.25">
      <c r="B277" t="s">
        <v>491</v>
      </c>
      <c r="C277" t="s">
        <v>492</v>
      </c>
      <c r="E277" t="str">
        <f>IF(COUNTIF(QuickSpecsList!A:A, B277) &gt; 0, "Yes", "No")</f>
        <v>Yes</v>
      </c>
    </row>
    <row r="278" spans="2:5" hidden="1" x14ac:dyDescent="0.25">
      <c r="B278" t="s">
        <v>493</v>
      </c>
      <c r="C278" t="s">
        <v>494</v>
      </c>
      <c r="E278" t="str">
        <f>IF(COUNTIF(QuickSpecsList!A:A, B278) &gt; 0, "Yes", "No")</f>
        <v>Yes</v>
      </c>
    </row>
    <row r="279" spans="2:5" hidden="1" x14ac:dyDescent="0.25">
      <c r="B279" t="s">
        <v>707</v>
      </c>
      <c r="C279" t="s">
        <v>708</v>
      </c>
      <c r="E279" t="str">
        <f>IF(COUNTIF(QuickSpecsList!A:A, B279) &gt; 0, "Yes", "No")</f>
        <v>Yes</v>
      </c>
    </row>
    <row r="280" spans="2:5" hidden="1" x14ac:dyDescent="0.25">
      <c r="B280" t="s">
        <v>194</v>
      </c>
      <c r="C280" t="s">
        <v>195</v>
      </c>
      <c r="E280" t="str">
        <f>IF(COUNTIF(QuickSpecsList!A:A, B280) &gt; 0, "Yes", "No")</f>
        <v>Yes</v>
      </c>
    </row>
    <row r="281" spans="2:5" hidden="1" x14ac:dyDescent="0.25">
      <c r="B281" t="s">
        <v>962</v>
      </c>
      <c r="C281" t="s">
        <v>963</v>
      </c>
      <c r="E281" t="str">
        <f>IF(COUNTIF(QuickSpecsList!A:A, B281) &gt; 0, "Yes", "No")</f>
        <v>Yes</v>
      </c>
    </row>
    <row r="282" spans="2:5" hidden="1" x14ac:dyDescent="0.25">
      <c r="B282" t="s">
        <v>960</v>
      </c>
      <c r="C282" t="s">
        <v>961</v>
      </c>
      <c r="E282" t="str">
        <f>IF(COUNTIF(QuickSpecsList!A:A, B282) &gt; 0, "Yes", "No")</f>
        <v>Yes</v>
      </c>
    </row>
    <row r="283" spans="2:5" hidden="1" x14ac:dyDescent="0.25">
      <c r="B283" t="s">
        <v>276</v>
      </c>
      <c r="C283" t="s">
        <v>277</v>
      </c>
      <c r="E283" t="str">
        <f>IF(COUNTIF(QuickSpecsList!A:A, B283) &gt; 0, "Yes", "No")</f>
        <v>Yes</v>
      </c>
    </row>
    <row r="284" spans="2:5" hidden="1" x14ac:dyDescent="0.25">
      <c r="B284" t="s">
        <v>713</v>
      </c>
      <c r="C284" t="s">
        <v>714</v>
      </c>
      <c r="E284" t="str">
        <f>IF(COUNTIF(QuickSpecsList!A:A, B284) &gt; 0, "Yes", "No")</f>
        <v>Yes</v>
      </c>
    </row>
    <row r="285" spans="2:5" hidden="1" x14ac:dyDescent="0.25">
      <c r="B285" t="s">
        <v>709</v>
      </c>
      <c r="C285" t="s">
        <v>710</v>
      </c>
      <c r="E285" t="str">
        <f>IF(COUNTIF(QuickSpecsList!A:A, B285) &gt; 0, "Yes", "No")</f>
        <v>Yes</v>
      </c>
    </row>
    <row r="286" spans="2:5" hidden="1" x14ac:dyDescent="0.25">
      <c r="B286" t="s">
        <v>901</v>
      </c>
      <c r="C286" t="s">
        <v>902</v>
      </c>
      <c r="E286" t="str">
        <f>IF(COUNTIF(QuickSpecsList!A:A, B286) &gt; 0, "Yes", "No")</f>
        <v>Yes</v>
      </c>
    </row>
    <row r="287" spans="2:5" hidden="1" x14ac:dyDescent="0.25">
      <c r="B287" t="s">
        <v>192</v>
      </c>
      <c r="C287" t="s">
        <v>193</v>
      </c>
      <c r="E287" t="str">
        <f>IF(COUNTIF(QuickSpecsList!A:A, B287) &gt; 0, "Yes", "No")</f>
        <v>Yes</v>
      </c>
    </row>
    <row r="288" spans="2:5" hidden="1" x14ac:dyDescent="0.25">
      <c r="B288" t="s">
        <v>711</v>
      </c>
      <c r="C288" t="s">
        <v>712</v>
      </c>
      <c r="E288" t="str">
        <f>IF(COUNTIF(QuickSpecsList!A:A, B288) &gt; 0, "Yes", "No")</f>
        <v>Yes</v>
      </c>
    </row>
    <row r="289" spans="2:5" hidden="1" x14ac:dyDescent="0.25">
      <c r="B289" t="s">
        <v>627</v>
      </c>
      <c r="C289" t="s">
        <v>628</v>
      </c>
      <c r="E289" t="str">
        <f>IF(COUNTIF(QuickSpecsList!A:A, B289) &gt; 0, "Yes", "No")</f>
        <v>Yes</v>
      </c>
    </row>
    <row r="290" spans="2:5" hidden="1" x14ac:dyDescent="0.25">
      <c r="B290" t="s">
        <v>513</v>
      </c>
      <c r="C290" t="s">
        <v>514</v>
      </c>
      <c r="E290" t="str">
        <f>IF(COUNTIF(QuickSpecsList!A:A, B290) &gt; 0, "Yes", "No")</f>
        <v>Yes</v>
      </c>
    </row>
    <row r="291" spans="2:5" hidden="1" x14ac:dyDescent="0.25">
      <c r="B291" t="s">
        <v>589</v>
      </c>
      <c r="C291" t="s">
        <v>590</v>
      </c>
      <c r="E291" t="str">
        <f>IF(COUNTIF(QuickSpecsList!A:A, B291) &gt; 0, "Yes", "No")</f>
        <v>Yes</v>
      </c>
    </row>
    <row r="292" spans="2:5" hidden="1" x14ac:dyDescent="0.25">
      <c r="B292" t="s">
        <v>623</v>
      </c>
      <c r="C292" t="s">
        <v>624</v>
      </c>
      <c r="E292" t="str">
        <f>IF(COUNTIF(QuickSpecsList!A:A, B292) &gt; 0, "Yes", "No")</f>
        <v>Yes</v>
      </c>
    </row>
    <row r="293" spans="2:5" hidden="1" x14ac:dyDescent="0.25">
      <c r="B293" t="s">
        <v>231</v>
      </c>
      <c r="C293" t="s">
        <v>232</v>
      </c>
      <c r="E293" t="str">
        <f>IF(COUNTIF(QuickSpecsList!A:A, B293) &gt; 0, "Yes", "No")</f>
        <v>Yes</v>
      </c>
    </row>
    <row r="294" spans="2:5" hidden="1" x14ac:dyDescent="0.25">
      <c r="B294" t="s">
        <v>139</v>
      </c>
      <c r="C294" t="s">
        <v>140</v>
      </c>
      <c r="E294" t="str">
        <f>IF(COUNTIF(QuickSpecsList!A:A, B294) &gt; 0, "Yes", "No")</f>
        <v>Yes</v>
      </c>
    </row>
    <row r="295" spans="2:5" hidden="1" x14ac:dyDescent="0.25">
      <c r="B295" t="s">
        <v>876</v>
      </c>
      <c r="C295" t="s">
        <v>877</v>
      </c>
      <c r="E295" t="str">
        <f>IF(COUNTIF(QuickSpecsList!A:A, B295) &gt; 0, "Yes", "No")</f>
        <v>Yes</v>
      </c>
    </row>
    <row r="296" spans="2:5" hidden="1" x14ac:dyDescent="0.25">
      <c r="B296" t="s">
        <v>835</v>
      </c>
      <c r="C296" t="s">
        <v>836</v>
      </c>
      <c r="E296" t="str">
        <f>IF(COUNTIF(QuickSpecsList!A:A, B296) &gt; 0, "Yes", "No")</f>
        <v>Yes</v>
      </c>
    </row>
    <row r="297" spans="2:5" hidden="1" x14ac:dyDescent="0.25">
      <c r="B297" t="s">
        <v>591</v>
      </c>
      <c r="C297" t="s">
        <v>592</v>
      </c>
      <c r="E297" t="str">
        <f>IF(COUNTIF(QuickSpecsList!A:A, B297) &gt; 0, "Yes", "No")</f>
        <v>Yes</v>
      </c>
    </row>
    <row r="298" spans="2:5" hidden="1" x14ac:dyDescent="0.25">
      <c r="B298" t="s">
        <v>212</v>
      </c>
      <c r="C298" t="s">
        <v>213</v>
      </c>
      <c r="E298" t="str">
        <f>IF(COUNTIF(QuickSpecsList!A:A, B298) &gt; 0, "Yes", "No")</f>
        <v>Yes</v>
      </c>
    </row>
    <row r="299" spans="2:5" hidden="1" x14ac:dyDescent="0.25">
      <c r="B299" t="s">
        <v>593</v>
      </c>
      <c r="C299" t="s">
        <v>594</v>
      </c>
      <c r="E299" t="str">
        <f>IF(COUNTIF(QuickSpecsList!A:A, B299) &gt; 0, "Yes", "No")</f>
        <v>Yes</v>
      </c>
    </row>
    <row r="300" spans="2:5" hidden="1" x14ac:dyDescent="0.25">
      <c r="B300" t="s">
        <v>635</v>
      </c>
      <c r="C300" t="s">
        <v>636</v>
      </c>
      <c r="E300" t="str">
        <f>IF(COUNTIF(QuickSpecsList!A:A, B300) &gt; 0, "Yes", "No")</f>
        <v>Yes</v>
      </c>
    </row>
    <row r="301" spans="2:5" hidden="1" x14ac:dyDescent="0.25">
      <c r="B301" t="s">
        <v>1082</v>
      </c>
      <c r="C301" t="s">
        <v>1083</v>
      </c>
      <c r="E301" t="str">
        <f>IF(COUNTIF(QuickSpecsList!A:A, B301) &gt; 0, "Yes", "No")</f>
        <v>Yes</v>
      </c>
    </row>
    <row r="302" spans="2:5" hidden="1" x14ac:dyDescent="0.25">
      <c r="B302" t="s">
        <v>777</v>
      </c>
      <c r="C302" t="s">
        <v>778</v>
      </c>
      <c r="E302" t="str">
        <f>IF(COUNTIF(QuickSpecsList!A:A, B302) &gt; 0, "Yes", "No")</f>
        <v>Yes</v>
      </c>
    </row>
    <row r="303" spans="2:5" hidden="1" x14ac:dyDescent="0.25">
      <c r="B303" t="s">
        <v>151</v>
      </c>
      <c r="C303" t="s">
        <v>152</v>
      </c>
      <c r="E303" t="str">
        <f>IF(COUNTIF(QuickSpecsList!A:A, B303) &gt; 0, "Yes", "No")</f>
        <v>Yes</v>
      </c>
    </row>
    <row r="304" spans="2:5" hidden="1" x14ac:dyDescent="0.25">
      <c r="B304" t="s">
        <v>1008</v>
      </c>
      <c r="C304" t="s">
        <v>1009</v>
      </c>
      <c r="E304" t="str">
        <f>IF(COUNTIF(QuickSpecsList!A:A, B304) &gt; 0, "Yes", "No")</f>
        <v>Yes</v>
      </c>
    </row>
    <row r="305" spans="2:5" hidden="1" x14ac:dyDescent="0.25">
      <c r="B305" t="s">
        <v>530</v>
      </c>
      <c r="C305" t="s">
        <v>531</v>
      </c>
      <c r="E305" t="str">
        <f>IF(COUNTIF(QuickSpecsList!A:A, B305) &gt; 0, "Yes", "No")</f>
        <v>Yes</v>
      </c>
    </row>
    <row r="306" spans="2:5" hidden="1" x14ac:dyDescent="0.25">
      <c r="B306" t="s">
        <v>544</v>
      </c>
      <c r="C306" t="s">
        <v>545</v>
      </c>
      <c r="E306" t="str">
        <f>IF(COUNTIF(QuickSpecsList!A:A, B306) &gt; 0, "Yes", "No")</f>
        <v>Yes</v>
      </c>
    </row>
    <row r="307" spans="2:5" x14ac:dyDescent="0.25">
      <c r="B307" t="s">
        <v>1109</v>
      </c>
      <c r="C307" t="s">
        <v>1110</v>
      </c>
      <c r="E307" t="str">
        <f>IF(COUNTIF(QuickSpecsList!A:A, B307) &gt; 0, "Yes", "No")</f>
        <v>Yes</v>
      </c>
    </row>
    <row r="308" spans="2:5" x14ac:dyDescent="0.25">
      <c r="B308" t="s">
        <v>1216</v>
      </c>
      <c r="C308" t="s">
        <v>1217</v>
      </c>
      <c r="E308" t="str">
        <f>IF(COUNTIF(QuickSpecsList!A:A, B308) &gt; 0, "Yes", "No")</f>
        <v>Yes</v>
      </c>
    </row>
    <row r="309" spans="2:5" hidden="1" x14ac:dyDescent="0.25">
      <c r="B309" t="s">
        <v>278</v>
      </c>
      <c r="C309" t="s">
        <v>279</v>
      </c>
      <c r="E309" t="str">
        <f>IF(COUNTIF(QuickSpecsList!A:A, B309) &gt; 0, "Yes", "No")</f>
        <v>Yes</v>
      </c>
    </row>
    <row r="310" spans="2:5" x14ac:dyDescent="0.25">
      <c r="B310" t="s">
        <v>1218</v>
      </c>
      <c r="C310" t="s">
        <v>1219</v>
      </c>
      <c r="E310" t="str">
        <f>IF(COUNTIF(QuickSpecsList!A:A, B310) &gt; 0, "Yes", "No")</f>
        <v>Yes</v>
      </c>
    </row>
    <row r="311" spans="2:5" x14ac:dyDescent="0.25">
      <c r="B311" t="s">
        <v>1220</v>
      </c>
      <c r="C311" t="s">
        <v>1221</v>
      </c>
      <c r="E311" t="str">
        <f>IF(COUNTIF(QuickSpecsList!A:A, B311) &gt; 0, "Yes", "No")</f>
        <v>Yes</v>
      </c>
    </row>
    <row r="312" spans="2:5" hidden="1" x14ac:dyDescent="0.25">
      <c r="B312" t="s">
        <v>929</v>
      </c>
      <c r="C312" t="s">
        <v>930</v>
      </c>
      <c r="E312" t="str">
        <f>IF(COUNTIF(QuickSpecsList!A:A, B312) &gt; 0, "Yes", "No")</f>
        <v>Yes</v>
      </c>
    </row>
    <row r="313" spans="2:5" hidden="1" x14ac:dyDescent="0.25">
      <c r="B313" t="s">
        <v>919</v>
      </c>
      <c r="C313" t="s">
        <v>920</v>
      </c>
      <c r="E313" t="str">
        <f>IF(COUNTIF(QuickSpecsList!A:A, B313) &gt; 0, "Yes", "No")</f>
        <v>Yes</v>
      </c>
    </row>
    <row r="314" spans="2:5" hidden="1" x14ac:dyDescent="0.25">
      <c r="B314" t="s">
        <v>952</v>
      </c>
      <c r="C314" t="s">
        <v>953</v>
      </c>
      <c r="E314" t="str">
        <f>IF(COUNTIF(QuickSpecsList!A:A, B314) &gt; 0, "Yes", "No")</f>
        <v>Yes</v>
      </c>
    </row>
    <row r="315" spans="2:5" hidden="1" x14ac:dyDescent="0.25">
      <c r="B315" t="s">
        <v>921</v>
      </c>
      <c r="C315" t="s">
        <v>922</v>
      </c>
      <c r="E315" t="str">
        <f>IF(COUNTIF(QuickSpecsList!A:A, B315) &gt; 0, "Yes", "No")</f>
        <v>Yes</v>
      </c>
    </row>
    <row r="316" spans="2:5" hidden="1" x14ac:dyDescent="0.25">
      <c r="B316" t="s">
        <v>316</v>
      </c>
      <c r="C316" t="s">
        <v>317</v>
      </c>
      <c r="E316" t="str">
        <f>IF(COUNTIF(QuickSpecsList!A:A, B316) &gt; 0, "Yes", "No")</f>
        <v>Yes</v>
      </c>
    </row>
    <row r="317" spans="2:5" hidden="1" x14ac:dyDescent="0.25">
      <c r="B317" t="s">
        <v>695</v>
      </c>
      <c r="C317" t="s">
        <v>696</v>
      </c>
      <c r="E317" t="str">
        <f>IF(COUNTIF(QuickSpecsList!A:A, B317) &gt; 0, "Yes", "No")</f>
        <v>Yes</v>
      </c>
    </row>
    <row r="318" spans="2:5" hidden="1" x14ac:dyDescent="0.25">
      <c r="B318" t="s">
        <v>204</v>
      </c>
      <c r="C318" t="s">
        <v>205</v>
      </c>
      <c r="E318" t="str">
        <f>IF(COUNTIF(QuickSpecsList!A:A, B318) &gt; 0, "Yes", "No")</f>
        <v>Yes</v>
      </c>
    </row>
    <row r="319" spans="2:5" hidden="1" x14ac:dyDescent="0.25">
      <c r="B319" t="s">
        <v>839</v>
      </c>
      <c r="C319" t="s">
        <v>840</v>
      </c>
      <c r="E319" t="str">
        <f>IF(COUNTIF(QuickSpecsList!A:A, B319) &gt; 0, "Yes", "No")</f>
        <v>Yes</v>
      </c>
    </row>
    <row r="320" spans="2:5" hidden="1" x14ac:dyDescent="0.25">
      <c r="B320" t="s">
        <v>225</v>
      </c>
      <c r="C320" t="s">
        <v>226</v>
      </c>
      <c r="E320" t="str">
        <f>IF(COUNTIF(QuickSpecsList!A:A, B320) &gt; 0, "Yes", "No")</f>
        <v>Yes</v>
      </c>
    </row>
    <row r="321" spans="2:5" hidden="1" x14ac:dyDescent="0.25">
      <c r="B321" t="s">
        <v>845</v>
      </c>
      <c r="C321" t="s">
        <v>846</v>
      </c>
      <c r="E321" t="str">
        <f>IF(COUNTIF(QuickSpecsList!A:A, B321) &gt; 0, "Yes", "No")</f>
        <v>Yes</v>
      </c>
    </row>
    <row r="322" spans="2:5" hidden="1" x14ac:dyDescent="0.25">
      <c r="B322" t="s">
        <v>467</v>
      </c>
      <c r="C322" t="s">
        <v>468</v>
      </c>
      <c r="E322" t="str">
        <f>IF(COUNTIF(QuickSpecsList!A:A, B322) &gt; 0, "Yes", "No")</f>
        <v>Yes</v>
      </c>
    </row>
    <row r="323" spans="2:5" hidden="1" x14ac:dyDescent="0.25">
      <c r="B323" t="s">
        <v>157</v>
      </c>
      <c r="C323" t="s">
        <v>158</v>
      </c>
      <c r="E323" t="str">
        <f>IF(COUNTIF(QuickSpecsList!A:A, B323) &gt; 0, "Yes", "No")</f>
        <v>Yes</v>
      </c>
    </row>
    <row r="324" spans="2:5" hidden="1" x14ac:dyDescent="0.25">
      <c r="B324" t="s">
        <v>625</v>
      </c>
      <c r="C324" t="s">
        <v>626</v>
      </c>
      <c r="E324" t="str">
        <f>IF(COUNTIF(QuickSpecsList!A:A, B324) &gt; 0, "Yes", "No")</f>
        <v>Yes</v>
      </c>
    </row>
    <row r="325" spans="2:5" hidden="1" x14ac:dyDescent="0.25">
      <c r="B325" t="s">
        <v>933</v>
      </c>
      <c r="C325" t="s">
        <v>1222</v>
      </c>
      <c r="E325" t="str">
        <f>IF(COUNTIF(QuickSpecsList!A:A, B325) &gt; 0, "Yes", "No")</f>
        <v>Yes</v>
      </c>
    </row>
    <row r="326" spans="2:5" hidden="1" x14ac:dyDescent="0.25">
      <c r="B326" t="s">
        <v>550</v>
      </c>
      <c r="C326" t="s">
        <v>551</v>
      </c>
      <c r="E326" t="str">
        <f>IF(COUNTIF(QuickSpecsList!A:A, B326) &gt; 0, "Yes", "No")</f>
        <v>Yes</v>
      </c>
    </row>
    <row r="327" spans="2:5" hidden="1" x14ac:dyDescent="0.25">
      <c r="B327" t="s">
        <v>915</v>
      </c>
      <c r="C327" t="s">
        <v>1223</v>
      </c>
      <c r="E327" t="str">
        <f>IF(COUNTIF(QuickSpecsList!A:A, B327) &gt; 0, "Yes", "No")</f>
        <v>Yes</v>
      </c>
    </row>
    <row r="328" spans="2:5" hidden="1" x14ac:dyDescent="0.25">
      <c r="B328" t="s">
        <v>913</v>
      </c>
      <c r="C328" t="s">
        <v>914</v>
      </c>
      <c r="E328" t="str">
        <f>IF(COUNTIF(QuickSpecsList!A:A, B328) &gt; 0, "Yes", "No")</f>
        <v>Yes</v>
      </c>
    </row>
    <row r="329" spans="2:5" hidden="1" x14ac:dyDescent="0.25">
      <c r="B329" t="s">
        <v>917</v>
      </c>
      <c r="C329" t="s">
        <v>918</v>
      </c>
      <c r="E329" t="str">
        <f>IF(COUNTIF(QuickSpecsList!A:A, B329) &gt; 0, "Yes", "No")</f>
        <v>Yes</v>
      </c>
    </row>
    <row r="330" spans="2:5" hidden="1" x14ac:dyDescent="0.25">
      <c r="B330" t="s">
        <v>643</v>
      </c>
      <c r="C330" t="s">
        <v>644</v>
      </c>
      <c r="E330" t="str">
        <f>IF(COUNTIF(QuickSpecsList!A:A, B330) &gt; 0, "Yes", "No")</f>
        <v>Yes</v>
      </c>
    </row>
    <row r="331" spans="2:5" hidden="1" x14ac:dyDescent="0.25">
      <c r="B331" t="s">
        <v>621</v>
      </c>
      <c r="C331" t="s">
        <v>622</v>
      </c>
      <c r="E331" t="str">
        <f>IF(COUNTIF(QuickSpecsList!A:A, B331) &gt; 0, "Yes", "No")</f>
        <v>Yes</v>
      </c>
    </row>
    <row r="332" spans="2:5" hidden="1" x14ac:dyDescent="0.25">
      <c r="B332" t="s">
        <v>579</v>
      </c>
      <c r="C332" t="s">
        <v>580</v>
      </c>
      <c r="E332" t="str">
        <f>IF(COUNTIF(QuickSpecsList!A:A, B332) &gt; 0, "Yes", "No")</f>
        <v>Yes</v>
      </c>
    </row>
    <row r="333" spans="2:5" hidden="1" x14ac:dyDescent="0.25">
      <c r="B333" t="s">
        <v>631</v>
      </c>
      <c r="C333" t="s">
        <v>632</v>
      </c>
      <c r="E333" t="str">
        <f>IF(COUNTIF(QuickSpecsList!A:A, B333) &gt; 0, "Yes", "No")</f>
        <v>Yes</v>
      </c>
    </row>
    <row r="334" spans="2:5" hidden="1" x14ac:dyDescent="0.25">
      <c r="B334" t="s">
        <v>259</v>
      </c>
      <c r="C334" t="s">
        <v>260</v>
      </c>
      <c r="E334" t="str">
        <f>IF(COUNTIF(QuickSpecsList!A:A, B334) &gt; 0, "Yes", "No")</f>
        <v>Yes</v>
      </c>
    </row>
    <row r="335" spans="2:5" hidden="1" x14ac:dyDescent="0.25">
      <c r="B335" t="s">
        <v>1012</v>
      </c>
      <c r="C335" t="s">
        <v>1013</v>
      </c>
      <c r="E335" t="str">
        <f>IF(COUNTIF(QuickSpecsList!A:A, B335) &gt; 0, "Yes", "No")</f>
        <v>Yes</v>
      </c>
    </row>
    <row r="336" spans="2:5" hidden="1" x14ac:dyDescent="0.25">
      <c r="B336" t="s">
        <v>1020</v>
      </c>
      <c r="C336" t="s">
        <v>1224</v>
      </c>
      <c r="E336" t="str">
        <f>IF(COUNTIF(QuickSpecsList!A:A, B336) &gt; 0, "Yes", "No")</f>
        <v>Yes</v>
      </c>
    </row>
    <row r="337" spans="2:5" hidden="1" x14ac:dyDescent="0.25">
      <c r="B337" t="s">
        <v>911</v>
      </c>
      <c r="C337" t="s">
        <v>912</v>
      </c>
      <c r="E337" t="str">
        <f>IF(COUNTIF(QuickSpecsList!A:A, B337) &gt; 0, "Yes", "No")</f>
        <v>Yes</v>
      </c>
    </row>
    <row r="338" spans="2:5" hidden="1" x14ac:dyDescent="0.25">
      <c r="B338" t="s">
        <v>526</v>
      </c>
      <c r="C338" t="s">
        <v>527</v>
      </c>
      <c r="E338" t="str">
        <f>IF(COUNTIF(QuickSpecsList!A:A, B338) &gt; 0, "Yes", "No")</f>
        <v>Yes</v>
      </c>
    </row>
    <row r="339" spans="2:5" hidden="1" x14ac:dyDescent="0.25">
      <c r="B339" t="s">
        <v>665</v>
      </c>
      <c r="C339" t="s">
        <v>666</v>
      </c>
      <c r="E339" t="str">
        <f>IF(COUNTIF(QuickSpecsList!A:A, B339) &gt; 0, "Yes", "No")</f>
        <v>Yes</v>
      </c>
    </row>
    <row r="340" spans="2:5" hidden="1" x14ac:dyDescent="0.25">
      <c r="B340" t="s">
        <v>239</v>
      </c>
      <c r="C340" t="s">
        <v>240</v>
      </c>
      <c r="E340" t="str">
        <f>IF(COUNTIF(QuickSpecsList!A:A, B340) &gt; 0, "Yes", "No")</f>
        <v>Yes</v>
      </c>
    </row>
    <row r="341" spans="2:5" hidden="1" x14ac:dyDescent="0.25">
      <c r="B341" t="s">
        <v>465</v>
      </c>
      <c r="C341" t="s">
        <v>466</v>
      </c>
      <c r="E341" t="str">
        <f>IF(COUNTIF(QuickSpecsList!A:A, B341) &gt; 0, "Yes", "No")</f>
        <v>Yes</v>
      </c>
    </row>
    <row r="342" spans="2:5" hidden="1" x14ac:dyDescent="0.25">
      <c r="B342" t="s">
        <v>463</v>
      </c>
      <c r="C342" t="s">
        <v>464</v>
      </c>
      <c r="E342" t="str">
        <f>IF(COUNTIF(QuickSpecsList!A:A, B342) &gt; 0, "Yes", "No")</f>
        <v>Yes</v>
      </c>
    </row>
    <row r="343" spans="2:5" hidden="1" x14ac:dyDescent="0.25">
      <c r="B343" t="s">
        <v>167</v>
      </c>
      <c r="C343" t="s">
        <v>168</v>
      </c>
      <c r="E343" t="str">
        <f>IF(COUNTIF(QuickSpecsList!A:A, B343) &gt; 0, "Yes", "No")</f>
        <v>Yes</v>
      </c>
    </row>
    <row r="344" spans="2:5" hidden="1" x14ac:dyDescent="0.25">
      <c r="B344" t="s">
        <v>637</v>
      </c>
      <c r="C344" t="s">
        <v>638</v>
      </c>
      <c r="E344" t="str">
        <f>IF(COUNTIF(QuickSpecsList!A:A, B344) &gt; 0, "Yes", "No")</f>
        <v>Yes</v>
      </c>
    </row>
    <row r="345" spans="2:5" hidden="1" x14ac:dyDescent="0.25">
      <c r="B345" t="s">
        <v>1016</v>
      </c>
      <c r="C345" t="s">
        <v>1017</v>
      </c>
      <c r="E345" t="str">
        <f>IF(COUNTIF(QuickSpecsList!A:A, B345) &gt; 0, "Yes", "No")</f>
        <v>Yes</v>
      </c>
    </row>
    <row r="346" spans="2:5" hidden="1" x14ac:dyDescent="0.25">
      <c r="B346" t="s">
        <v>880</v>
      </c>
      <c r="C346" t="s">
        <v>881</v>
      </c>
      <c r="E346" t="str">
        <f>IF(COUNTIF(QuickSpecsList!A:A, B346) &gt; 0, "Yes", "No")</f>
        <v>Yes</v>
      </c>
    </row>
    <row r="347" spans="2:5" hidden="1" x14ac:dyDescent="0.25">
      <c r="B347" t="s">
        <v>381</v>
      </c>
      <c r="C347" t="s">
        <v>382</v>
      </c>
      <c r="E347" t="str">
        <f>IF(COUNTIF(QuickSpecsList!A:A, B347) &gt; 0, "Yes", "No")</f>
        <v>Yes</v>
      </c>
    </row>
    <row r="348" spans="2:5" hidden="1" x14ac:dyDescent="0.25">
      <c r="B348" t="s">
        <v>363</v>
      </c>
      <c r="C348" t="s">
        <v>364</v>
      </c>
      <c r="E348" t="str">
        <f>IF(COUNTIF(QuickSpecsList!A:A, B348) &gt; 0, "Yes", "No")</f>
        <v>Yes</v>
      </c>
    </row>
    <row r="349" spans="2:5" hidden="1" x14ac:dyDescent="0.25">
      <c r="B349" t="s">
        <v>165</v>
      </c>
      <c r="C349" t="s">
        <v>166</v>
      </c>
      <c r="E349" t="str">
        <f>IF(COUNTIF(QuickSpecsList!A:A, B349) &gt; 0, "Yes", "No")</f>
        <v>Yes</v>
      </c>
    </row>
    <row r="350" spans="2:5" hidden="1" x14ac:dyDescent="0.25">
      <c r="B350" t="s">
        <v>925</v>
      </c>
      <c r="C350" t="s">
        <v>926</v>
      </c>
      <c r="E350" t="str">
        <f>IF(COUNTIF(QuickSpecsList!A:A, B350) &gt; 0, "Yes", "No")</f>
        <v>Yes</v>
      </c>
    </row>
    <row r="351" spans="2:5" hidden="1" x14ac:dyDescent="0.25">
      <c r="B351" t="s">
        <v>697</v>
      </c>
      <c r="C351" t="s">
        <v>698</v>
      </c>
      <c r="E351" t="str">
        <f>IF(COUNTIF(QuickSpecsList!A:A, B351) &gt; 0, "Yes", "No")</f>
        <v>Yes</v>
      </c>
    </row>
    <row r="352" spans="2:5" hidden="1" x14ac:dyDescent="0.25">
      <c r="B352" t="s">
        <v>344</v>
      </c>
      <c r="C352" t="s">
        <v>345</v>
      </c>
      <c r="E352" t="str">
        <f>IF(COUNTIF(QuickSpecsList!A:A, B352) &gt; 0, "Yes", "No")</f>
        <v>Yes</v>
      </c>
    </row>
    <row r="353" spans="2:5" hidden="1" x14ac:dyDescent="0.25">
      <c r="B353" t="s">
        <v>731</v>
      </c>
      <c r="C353" t="s">
        <v>732</v>
      </c>
      <c r="E353" t="str">
        <f>IF(COUNTIF(QuickSpecsList!A:A, B353) &gt; 0, "Yes", "No")</f>
        <v>Yes</v>
      </c>
    </row>
    <row r="354" spans="2:5" hidden="1" x14ac:dyDescent="0.25">
      <c r="B354" t="s">
        <v>342</v>
      </c>
      <c r="C354" t="s">
        <v>343</v>
      </c>
      <c r="E354" t="str">
        <f>IF(COUNTIF(QuickSpecsList!A:A, B354) &gt; 0, "Yes", "No")</f>
        <v>Yes</v>
      </c>
    </row>
    <row r="355" spans="2:5" hidden="1" x14ac:dyDescent="0.25">
      <c r="B355" t="s">
        <v>907</v>
      </c>
      <c r="C355" t="s">
        <v>908</v>
      </c>
      <c r="E355" t="str">
        <f>IF(COUNTIF(QuickSpecsList!A:A, B355) &gt; 0, "Yes", "No")</f>
        <v>Yes</v>
      </c>
    </row>
    <row r="356" spans="2:5" hidden="1" x14ac:dyDescent="0.25">
      <c r="B356" t="s">
        <v>196</v>
      </c>
      <c r="C356" t="s">
        <v>197</v>
      </c>
      <c r="E356" t="str">
        <f>IF(COUNTIF(QuickSpecsList!A:A, B356) &gt; 0, "Yes", "No")</f>
        <v>Yes</v>
      </c>
    </row>
    <row r="357" spans="2:5" hidden="1" x14ac:dyDescent="0.25">
      <c r="B357" t="s">
        <v>180</v>
      </c>
      <c r="C357" t="s">
        <v>181</v>
      </c>
      <c r="E357" t="str">
        <f>IF(COUNTIF(QuickSpecsList!A:A, B357) &gt; 0, "Yes", "No")</f>
        <v>Yes</v>
      </c>
    </row>
    <row r="358" spans="2:5" hidden="1" x14ac:dyDescent="0.25">
      <c r="B358" t="s">
        <v>725</v>
      </c>
      <c r="C358" t="s">
        <v>726</v>
      </c>
      <c r="E358" t="str">
        <f>IF(COUNTIF(QuickSpecsList!A:A, B358) &gt; 0, "Yes", "No")</f>
        <v>Yes</v>
      </c>
    </row>
    <row r="359" spans="2:5" hidden="1" x14ac:dyDescent="0.25">
      <c r="B359" t="s">
        <v>585</v>
      </c>
      <c r="C359" t="s">
        <v>586</v>
      </c>
      <c r="E359" t="str">
        <f>IF(COUNTIF(QuickSpecsList!A:A, B359) &gt; 0, "Yes", "No")</f>
        <v>Yes</v>
      </c>
    </row>
    <row r="360" spans="2:5" hidden="1" x14ac:dyDescent="0.25">
      <c r="B360" t="s">
        <v>235</v>
      </c>
      <c r="C360" t="s">
        <v>236</v>
      </c>
      <c r="E360" t="str">
        <f>IF(COUNTIF(QuickSpecsList!A:A, B360) &gt; 0, "Yes", "No")</f>
        <v>Yes</v>
      </c>
    </row>
    <row r="361" spans="2:5" hidden="1" x14ac:dyDescent="0.25">
      <c r="B361" t="s">
        <v>1075</v>
      </c>
      <c r="C361" t="s">
        <v>1076</v>
      </c>
      <c r="E361" t="str">
        <f>IF(COUNTIF(QuickSpecsList!A:A, B361) &gt; 0, "Yes", "No")</f>
        <v>Yes</v>
      </c>
    </row>
    <row r="362" spans="2:5" hidden="1" x14ac:dyDescent="0.25">
      <c r="B362" t="s">
        <v>184</v>
      </c>
      <c r="C362" t="s">
        <v>185</v>
      </c>
      <c r="E362" t="str">
        <f>IF(COUNTIF(QuickSpecsList!A:A, B362) &gt; 0, "Yes", "No")</f>
        <v>Yes</v>
      </c>
    </row>
    <row r="363" spans="2:5" hidden="1" x14ac:dyDescent="0.25">
      <c r="B363" t="s">
        <v>210</v>
      </c>
      <c r="C363" t="s">
        <v>211</v>
      </c>
      <c r="E363" t="str">
        <f>IF(COUNTIF(QuickSpecsList!A:A, B363) &gt; 0, "Yes", "No")</f>
        <v>Yes</v>
      </c>
    </row>
    <row r="364" spans="2:5" hidden="1" x14ac:dyDescent="0.25">
      <c r="B364" t="s">
        <v>733</v>
      </c>
      <c r="C364" t="s">
        <v>734</v>
      </c>
      <c r="E364" t="str">
        <f>IF(COUNTIF(QuickSpecsList!A:A, B364) &gt; 0, "Yes", "No")</f>
        <v>Yes</v>
      </c>
    </row>
    <row r="365" spans="2:5" hidden="1" x14ac:dyDescent="0.25">
      <c r="B365" t="s">
        <v>163</v>
      </c>
      <c r="C365" t="s">
        <v>164</v>
      </c>
      <c r="E365" t="str">
        <f>IF(COUNTIF(QuickSpecsList!A:A, B365) &gt; 0, "Yes", "No")</f>
        <v>Yes</v>
      </c>
    </row>
    <row r="366" spans="2:5" hidden="1" x14ac:dyDescent="0.25">
      <c r="B366" t="s">
        <v>222</v>
      </c>
      <c r="C366" t="s">
        <v>223</v>
      </c>
      <c r="E366" t="str">
        <f>IF(COUNTIF(QuickSpecsList!A:A, B366) &gt; 0, "Yes", "No")</f>
        <v>Yes</v>
      </c>
    </row>
    <row r="367" spans="2:5" hidden="1" x14ac:dyDescent="0.25">
      <c r="B367" t="s">
        <v>322</v>
      </c>
      <c r="C367" t="s">
        <v>323</v>
      </c>
      <c r="E367" t="str">
        <f>IF(COUNTIF(QuickSpecsList!A:A, B367) &gt; 0, "Yes", "No")</f>
        <v>Yes</v>
      </c>
    </row>
    <row r="368" spans="2:5" hidden="1" x14ac:dyDescent="0.25">
      <c r="B368" t="s">
        <v>851</v>
      </c>
      <c r="C368" t="s">
        <v>852</v>
      </c>
      <c r="E368" t="str">
        <f>IF(COUNTIF(QuickSpecsList!A:A, B368) &gt; 0, "Yes", "No")</f>
        <v>Yes</v>
      </c>
    </row>
    <row r="369" spans="2:5" hidden="1" x14ac:dyDescent="0.25">
      <c r="B369" t="s">
        <v>532</v>
      </c>
      <c r="C369" t="s">
        <v>533</v>
      </c>
      <c r="E369" t="str">
        <f>IF(COUNTIF(QuickSpecsList!A:A, B369) &gt; 0, "Yes", "No")</f>
        <v>Yes</v>
      </c>
    </row>
    <row r="370" spans="2:5" hidden="1" x14ac:dyDescent="0.25">
      <c r="B370" t="s">
        <v>843</v>
      </c>
      <c r="C370" t="s">
        <v>844</v>
      </c>
      <c r="E370" t="str">
        <f>IF(COUNTIF(QuickSpecsList!A:A, B370) &gt; 0, "Yes", "No")</f>
        <v>Yes</v>
      </c>
    </row>
    <row r="371" spans="2:5" hidden="1" x14ac:dyDescent="0.25">
      <c r="B371" t="s">
        <v>629</v>
      </c>
      <c r="C371" t="s">
        <v>630</v>
      </c>
      <c r="E371" t="str">
        <f>IF(COUNTIF(QuickSpecsList!A:A, B371) &gt; 0, "Yes", "No")</f>
        <v>Yes</v>
      </c>
    </row>
    <row r="372" spans="2:5" hidden="1" x14ac:dyDescent="0.25">
      <c r="B372" t="s">
        <v>1077</v>
      </c>
      <c r="C372" t="s">
        <v>1078</v>
      </c>
      <c r="E372" t="str">
        <f>IF(COUNTIF(QuickSpecsList!A:A, B372) &gt; 0, "Yes", "No")</f>
        <v>Yes</v>
      </c>
    </row>
    <row r="373" spans="2:5" hidden="1" x14ac:dyDescent="0.25">
      <c r="B373" t="s">
        <v>657</v>
      </c>
      <c r="C373" t="s">
        <v>658</v>
      </c>
      <c r="E373" t="str">
        <f>IF(COUNTIF(QuickSpecsList!A:A, B373) &gt; 0, "Yes", "No")</f>
        <v>Yes</v>
      </c>
    </row>
    <row r="374" spans="2:5" hidden="1" x14ac:dyDescent="0.25">
      <c r="B374" t="s">
        <v>361</v>
      </c>
      <c r="C374" t="s">
        <v>362</v>
      </c>
      <c r="E374" t="str">
        <f>IF(COUNTIF(QuickSpecsList!A:A, B374) &gt; 0, "Yes", "No")</f>
        <v>Yes</v>
      </c>
    </row>
    <row r="375" spans="2:5" hidden="1" x14ac:dyDescent="0.25">
      <c r="B375" t="s">
        <v>495</v>
      </c>
      <c r="C375" t="s">
        <v>496</v>
      </c>
      <c r="E375" t="str">
        <f>IF(COUNTIF(QuickSpecsList!A:A, B375) &gt; 0, "Yes", "No")</f>
        <v>Yes</v>
      </c>
    </row>
    <row r="376" spans="2:5" hidden="1" x14ac:dyDescent="0.25">
      <c r="B376" t="s">
        <v>338</v>
      </c>
      <c r="C376" t="s">
        <v>339</v>
      </c>
      <c r="E376" t="str">
        <f>IF(COUNTIF(QuickSpecsList!A:A, B376) &gt; 0, "Yes", "No")</f>
        <v>Yes</v>
      </c>
    </row>
    <row r="377" spans="2:5" hidden="1" x14ac:dyDescent="0.25">
      <c r="B377" t="s">
        <v>757</v>
      </c>
      <c r="C377" t="s">
        <v>758</v>
      </c>
      <c r="E377" t="str">
        <f>IF(COUNTIF(QuickSpecsList!A:A, B377) &gt; 0, "Yes", "No")</f>
        <v>Yes</v>
      </c>
    </row>
    <row r="378" spans="2:5" hidden="1" x14ac:dyDescent="0.25">
      <c r="B378" t="s">
        <v>755</v>
      </c>
      <c r="C378" t="s">
        <v>756</v>
      </c>
      <c r="E378" t="str">
        <f>IF(COUNTIF(QuickSpecsList!A:A, B378) &gt; 0, "Yes", "No")</f>
        <v>Yes</v>
      </c>
    </row>
    <row r="379" spans="2:5" hidden="1" x14ac:dyDescent="0.25">
      <c r="B379" t="s">
        <v>753</v>
      </c>
      <c r="C379" t="s">
        <v>754</v>
      </c>
      <c r="E379" t="str">
        <f>IF(COUNTIF(QuickSpecsList!A:A, B379) &gt; 0, "Yes", "No")</f>
        <v>Yes</v>
      </c>
    </row>
    <row r="380" spans="2:5" hidden="1" x14ac:dyDescent="0.25">
      <c r="B380" t="s">
        <v>1073</v>
      </c>
      <c r="C380" t="s">
        <v>1074</v>
      </c>
      <c r="E380" t="str">
        <f>IF(COUNTIF(QuickSpecsList!A:A, B380) &gt; 0, "Yes", "No")</f>
        <v>Yes</v>
      </c>
    </row>
    <row r="381" spans="2:5" hidden="1" x14ac:dyDescent="0.25">
      <c r="B381" t="s">
        <v>348</v>
      </c>
      <c r="C381" t="s">
        <v>349</v>
      </c>
      <c r="E381" t="str">
        <f>IF(COUNTIF(QuickSpecsList!A:A, B381) &gt; 0, "Yes", "No")</f>
        <v>Yes</v>
      </c>
    </row>
    <row r="382" spans="2:5" hidden="1" x14ac:dyDescent="0.25">
      <c r="B382" t="s">
        <v>729</v>
      </c>
      <c r="C382" t="s">
        <v>730</v>
      </c>
      <c r="E382" t="str">
        <f>IF(COUNTIF(QuickSpecsList!A:A, B382) &gt; 0, "Yes", "No")</f>
        <v>Yes</v>
      </c>
    </row>
    <row r="383" spans="2:5" hidden="1" x14ac:dyDescent="0.25">
      <c r="B383" t="s">
        <v>202</v>
      </c>
      <c r="C383" t="s">
        <v>203</v>
      </c>
      <c r="E383" t="str">
        <f>IF(COUNTIF(QuickSpecsList!A:A, B383) &gt; 0, "Yes", "No")</f>
        <v>Yes</v>
      </c>
    </row>
    <row r="384" spans="2:5" hidden="1" x14ac:dyDescent="0.25">
      <c r="B384" t="s">
        <v>905</v>
      </c>
      <c r="C384" t="s">
        <v>906</v>
      </c>
      <c r="E384" t="str">
        <f>IF(COUNTIF(QuickSpecsList!A:A, B384) &gt; 0, "Yes", "No")</f>
        <v>Yes</v>
      </c>
    </row>
    <row r="385" spans="2:5" hidden="1" x14ac:dyDescent="0.25">
      <c r="B385" t="s">
        <v>673</v>
      </c>
      <c r="C385" t="s">
        <v>674</v>
      </c>
      <c r="E385" t="str">
        <f>IF(COUNTIF(QuickSpecsList!A:A, B385) &gt; 0, "Yes", "No")</f>
        <v>Yes</v>
      </c>
    </row>
    <row r="386" spans="2:5" hidden="1" x14ac:dyDescent="0.25">
      <c r="B386" t="s">
        <v>671</v>
      </c>
      <c r="C386" t="s">
        <v>672</v>
      </c>
      <c r="E386" t="str">
        <f>IF(COUNTIF(QuickSpecsList!A:A, B386) &gt; 0, "Yes", "No")</f>
        <v>Yes</v>
      </c>
    </row>
    <row r="387" spans="2:5" hidden="1" x14ac:dyDescent="0.25">
      <c r="B387" t="s">
        <v>687</v>
      </c>
      <c r="C387" t="s">
        <v>688</v>
      </c>
      <c r="E387" t="str">
        <f>IF(COUNTIF(QuickSpecsList!A:A, B387) &gt; 0, "Yes", "No")</f>
        <v>Yes</v>
      </c>
    </row>
    <row r="388" spans="2:5" hidden="1" x14ac:dyDescent="0.25">
      <c r="B388" t="s">
        <v>383</v>
      </c>
      <c r="C388" t="s">
        <v>384</v>
      </c>
      <c r="E388" t="str">
        <f>IF(COUNTIF(QuickSpecsList!A:A, B388) &gt; 0, "Yes", "No")</f>
        <v>Yes</v>
      </c>
    </row>
    <row r="389" spans="2:5" hidden="1" x14ac:dyDescent="0.25">
      <c r="B389" t="s">
        <v>1048</v>
      </c>
      <c r="C389" t="s">
        <v>1049</v>
      </c>
      <c r="E389" t="str">
        <f>IF(COUNTIF(QuickSpecsList!A:A, B389) &gt; 0, "Yes", "No")</f>
        <v>Yes</v>
      </c>
    </row>
    <row r="390" spans="2:5" hidden="1" x14ac:dyDescent="0.25">
      <c r="B390" t="s">
        <v>689</v>
      </c>
      <c r="C390" t="s">
        <v>690</v>
      </c>
      <c r="E390" t="str">
        <f>IF(COUNTIF(QuickSpecsList!A:A, B390) &gt; 0, "Yes", "No")</f>
        <v>Yes</v>
      </c>
    </row>
    <row r="391" spans="2:5" hidden="1" x14ac:dyDescent="0.25">
      <c r="B391" t="s">
        <v>1059</v>
      </c>
      <c r="C391" t="s">
        <v>1060</v>
      </c>
      <c r="E391" t="str">
        <f>IF(COUNTIF(QuickSpecsList!A:A, B391) &gt; 0, "Yes", "No")</f>
        <v>Yes</v>
      </c>
    </row>
    <row r="392" spans="2:5" hidden="1" x14ac:dyDescent="0.25">
      <c r="B392" t="s">
        <v>675</v>
      </c>
      <c r="C392" t="s">
        <v>676</v>
      </c>
      <c r="E392" t="str">
        <f>IF(COUNTIF(QuickSpecsList!A:A, B392) &gt; 0, "Yes", "No")</f>
        <v>Yes</v>
      </c>
    </row>
    <row r="393" spans="2:5" hidden="1" x14ac:dyDescent="0.25">
      <c r="B393" t="s">
        <v>677</v>
      </c>
      <c r="C393" t="s">
        <v>678</v>
      </c>
      <c r="E393" t="str">
        <f>IF(COUNTIF(QuickSpecsList!A:A, B393) &gt; 0, "Yes", "No")</f>
        <v>Yes</v>
      </c>
    </row>
    <row r="394" spans="2:5" hidden="1" x14ac:dyDescent="0.25">
      <c r="B394" t="s">
        <v>346</v>
      </c>
      <c r="C394" t="s">
        <v>347</v>
      </c>
      <c r="E394" t="str">
        <f>IF(COUNTIF(QuickSpecsList!A:A, B394) &gt; 0, "Yes", "No")</f>
        <v>Yes</v>
      </c>
    </row>
    <row r="395" spans="2:5" hidden="1" x14ac:dyDescent="0.25">
      <c r="B395" t="s">
        <v>735</v>
      </c>
      <c r="C395" t="s">
        <v>736</v>
      </c>
      <c r="E395" t="str">
        <f>IF(COUNTIF(QuickSpecsList!A:A, B395) &gt; 0, "Yes", "No")</f>
        <v>Yes</v>
      </c>
    </row>
    <row r="396" spans="2:5" hidden="1" x14ac:dyDescent="0.25">
      <c r="B396" t="s">
        <v>1065</v>
      </c>
      <c r="C396" t="s">
        <v>1066</v>
      </c>
      <c r="E396" t="str">
        <f>IF(COUNTIF(QuickSpecsList!A:A, B396) &gt; 0, "Yes", "No")</f>
        <v>Yes</v>
      </c>
    </row>
    <row r="397" spans="2:5" hidden="1" x14ac:dyDescent="0.25">
      <c r="B397" t="s">
        <v>609</v>
      </c>
      <c r="C397" t="s">
        <v>610</v>
      </c>
      <c r="E397" t="str">
        <f>IF(COUNTIF(QuickSpecsList!A:A, B397) &gt; 0, "Yes", "No")</f>
        <v>Yes</v>
      </c>
    </row>
    <row r="398" spans="2:5" hidden="1" x14ac:dyDescent="0.25">
      <c r="B398" t="s">
        <v>354</v>
      </c>
      <c r="C398" t="s">
        <v>355</v>
      </c>
      <c r="E398" t="str">
        <f>IF(COUNTIF(QuickSpecsList!A:A, B398) &gt; 0, "Yes", "No")</f>
        <v>Yes</v>
      </c>
    </row>
    <row r="399" spans="2:5" hidden="1" x14ac:dyDescent="0.25">
      <c r="B399" t="s">
        <v>859</v>
      </c>
      <c r="C399" t="s">
        <v>860</v>
      </c>
      <c r="E399" t="str">
        <f>IF(COUNTIF(QuickSpecsList!A:A, B399) &gt; 0, "Yes", "No")</f>
        <v>Yes</v>
      </c>
    </row>
    <row r="400" spans="2:5" hidden="1" x14ac:dyDescent="0.25">
      <c r="B400" t="s">
        <v>1100</v>
      </c>
      <c r="C400" t="s">
        <v>1101</v>
      </c>
      <c r="E400" t="str">
        <f>IF(COUNTIF(QuickSpecsList!A:A, B400) &gt; 0, "Yes", "No")</f>
        <v>Yes</v>
      </c>
    </row>
    <row r="401" spans="2:5" hidden="1" x14ac:dyDescent="0.25">
      <c r="B401" t="s">
        <v>1102</v>
      </c>
      <c r="C401" t="s">
        <v>1103</v>
      </c>
      <c r="E401" t="str">
        <f>IF(COUNTIF(QuickSpecsList!A:A, B401) &gt; 0, "Yes", "No")</f>
        <v>Yes</v>
      </c>
    </row>
    <row r="402" spans="2:5" hidden="1" x14ac:dyDescent="0.25">
      <c r="B402" t="s">
        <v>775</v>
      </c>
      <c r="C402" t="s">
        <v>776</v>
      </c>
      <c r="E402" t="str">
        <f>IF(COUNTIF(QuickSpecsList!A:A, B402) &gt; 0, "Yes", "No")</f>
        <v>Yes</v>
      </c>
    </row>
    <row r="403" spans="2:5" hidden="1" x14ac:dyDescent="0.25">
      <c r="B403" t="s">
        <v>683</v>
      </c>
      <c r="C403" t="s">
        <v>684</v>
      </c>
      <c r="E403" t="str">
        <f>IF(COUNTIF(QuickSpecsList!A:A, B403) &gt; 0, "Yes", "No")</f>
        <v>Yes</v>
      </c>
    </row>
    <row r="404" spans="2:5" hidden="1" x14ac:dyDescent="0.25">
      <c r="B404" t="s">
        <v>387</v>
      </c>
      <c r="C404" t="s">
        <v>388</v>
      </c>
      <c r="E404" t="str">
        <f>IF(COUNTIF(QuickSpecsList!A:A, B404) &gt; 0, "Yes", "No")</f>
        <v>Yes</v>
      </c>
    </row>
    <row r="405" spans="2:5" hidden="1" x14ac:dyDescent="0.25">
      <c r="B405" t="s">
        <v>701</v>
      </c>
      <c r="C405" t="s">
        <v>702</v>
      </c>
      <c r="E405" t="str">
        <f>IF(COUNTIF(QuickSpecsList!A:A, B405) &gt; 0, "Yes", "No")</f>
        <v>Yes</v>
      </c>
    </row>
    <row r="406" spans="2:5" hidden="1" x14ac:dyDescent="0.25">
      <c r="B406" t="s">
        <v>663</v>
      </c>
      <c r="C406" t="s">
        <v>664</v>
      </c>
      <c r="E406" t="str">
        <f>IF(COUNTIF(QuickSpecsList!A:A, B406) &gt; 0, "Yes", "No")</f>
        <v>Yes</v>
      </c>
    </row>
    <row r="407" spans="2:5" hidden="1" x14ac:dyDescent="0.25">
      <c r="B407" t="s">
        <v>886</v>
      </c>
      <c r="C407" t="s">
        <v>887</v>
      </c>
      <c r="E407" t="str">
        <f>IF(COUNTIF(QuickSpecsList!A:A, B407) &gt; 0, "Yes", "No")</f>
        <v>Yes</v>
      </c>
    </row>
    <row r="408" spans="2:5" hidden="1" x14ac:dyDescent="0.25">
      <c r="B408" t="s">
        <v>171</v>
      </c>
      <c r="C408" t="s">
        <v>172</v>
      </c>
      <c r="E408" t="str">
        <f>IF(COUNTIF(QuickSpecsList!A:A, B408) &gt; 0, "Yes", "No")</f>
        <v>Yes</v>
      </c>
    </row>
    <row r="409" spans="2:5" hidden="1" x14ac:dyDescent="0.25">
      <c r="B409" t="s">
        <v>891</v>
      </c>
      <c r="C409" t="s">
        <v>892</v>
      </c>
      <c r="E409" t="str">
        <f>IF(COUNTIF(QuickSpecsList!A:A, B409) &gt; 0, "Yes", "No")</f>
        <v>Yes</v>
      </c>
    </row>
    <row r="410" spans="2:5" hidden="1" x14ac:dyDescent="0.25">
      <c r="B410" t="s">
        <v>888</v>
      </c>
      <c r="C410" t="s">
        <v>889</v>
      </c>
      <c r="E410" t="str">
        <f>IF(COUNTIF(QuickSpecsList!A:A, B410) &gt; 0, "Yes", "No")</f>
        <v>Yes</v>
      </c>
    </row>
    <row r="411" spans="2:5" hidden="1" x14ac:dyDescent="0.25">
      <c r="B411" t="s">
        <v>1055</v>
      </c>
      <c r="C411" t="s">
        <v>1056</v>
      </c>
      <c r="E411" t="str">
        <f>IF(COUNTIF(QuickSpecsList!A:A, B411) &gt; 0, "Yes", "No")</f>
        <v>Yes</v>
      </c>
    </row>
    <row r="412" spans="2:5" hidden="1" x14ac:dyDescent="0.25">
      <c r="B412" t="s">
        <v>173</v>
      </c>
      <c r="C412" t="s">
        <v>174</v>
      </c>
      <c r="E412" t="str">
        <f>IF(COUNTIF(QuickSpecsList!A:A, B412) &gt; 0, "Yes", "No")</f>
        <v>Yes</v>
      </c>
    </row>
    <row r="413" spans="2:5" hidden="1" x14ac:dyDescent="0.25">
      <c r="B413" t="s">
        <v>177</v>
      </c>
      <c r="C413" t="s">
        <v>178</v>
      </c>
      <c r="E413" t="str">
        <f>IF(COUNTIF(QuickSpecsList!A:A, B413) &gt; 0, "Yes", "No")</f>
        <v>Yes</v>
      </c>
    </row>
    <row r="414" spans="2:5" hidden="1" x14ac:dyDescent="0.25">
      <c r="B414" t="s">
        <v>1080</v>
      </c>
      <c r="C414" t="s">
        <v>1081</v>
      </c>
      <c r="E414" t="str">
        <f>IF(COUNTIF(QuickSpecsList!A:A, B414) &gt; 0, "Yes", "No")</f>
        <v>Yes</v>
      </c>
    </row>
    <row r="415" spans="2:5" hidden="1" x14ac:dyDescent="0.25">
      <c r="B415" t="s">
        <v>1063</v>
      </c>
      <c r="C415" t="s">
        <v>1064</v>
      </c>
      <c r="E415" t="str">
        <f>IF(COUNTIF(QuickSpecsList!A:A, B415) &gt; 0, "Yes", "No")</f>
        <v>Yes</v>
      </c>
    </row>
    <row r="416" spans="2:5" hidden="1" x14ac:dyDescent="0.25">
      <c r="B416" t="s">
        <v>367</v>
      </c>
      <c r="C416" t="s">
        <v>368</v>
      </c>
      <c r="E416" t="str">
        <f>IF(COUNTIF(QuickSpecsList!A:A, B416) &gt; 0, "Yes", "No")</f>
        <v>Yes</v>
      </c>
    </row>
    <row r="417" spans="2:5" hidden="1" x14ac:dyDescent="0.25">
      <c r="B417" t="s">
        <v>1040</v>
      </c>
      <c r="C417" t="s">
        <v>1041</v>
      </c>
      <c r="E417" t="str">
        <f>IF(COUNTIF(QuickSpecsList!A:A, B417) &gt; 0, "Yes", "No")</f>
        <v>Yes</v>
      </c>
    </row>
    <row r="418" spans="2:5" hidden="1" x14ac:dyDescent="0.25">
      <c r="B418" t="s">
        <v>369</v>
      </c>
      <c r="C418" t="s">
        <v>370</v>
      </c>
      <c r="E418" t="str">
        <f>IF(COUNTIF(QuickSpecsList!A:A, B418) &gt; 0, "Yes", "No")</f>
        <v>Yes</v>
      </c>
    </row>
    <row r="419" spans="2:5" hidden="1" x14ac:dyDescent="0.25">
      <c r="B419" t="s">
        <v>1042</v>
      </c>
      <c r="C419" t="s">
        <v>1043</v>
      </c>
      <c r="E419" t="str">
        <f>IF(COUNTIF(QuickSpecsList!A:A, B419) &gt; 0, "Yes", "No")</f>
        <v>Yes</v>
      </c>
    </row>
    <row r="420" spans="2:5" hidden="1" x14ac:dyDescent="0.25">
      <c r="B420" t="s">
        <v>669</v>
      </c>
      <c r="C420" t="s">
        <v>670</v>
      </c>
      <c r="E420" t="str">
        <f>IF(COUNTIF(QuickSpecsList!A:A, B420) &gt; 0, "Yes", "No")</f>
        <v>Yes</v>
      </c>
    </row>
    <row r="421" spans="2:5" hidden="1" x14ac:dyDescent="0.25">
      <c r="B421" t="s">
        <v>667</v>
      </c>
      <c r="C421" t="s">
        <v>668</v>
      </c>
      <c r="E421" t="str">
        <f>IF(COUNTIF(QuickSpecsList!A:A, B421) &gt; 0, "Yes", "No")</f>
        <v>Yes</v>
      </c>
    </row>
    <row r="422" spans="2:5" hidden="1" x14ac:dyDescent="0.25">
      <c r="B422" t="s">
        <v>749</v>
      </c>
      <c r="C422" t="s">
        <v>750</v>
      </c>
      <c r="E422" t="str">
        <f>IF(COUNTIF(QuickSpecsList!A:A, B422) &gt; 0, "Yes", "No")</f>
        <v>Yes</v>
      </c>
    </row>
    <row r="423" spans="2:5" hidden="1" x14ac:dyDescent="0.25">
      <c r="B423" t="s">
        <v>340</v>
      </c>
      <c r="C423" t="s">
        <v>341</v>
      </c>
      <c r="E423" t="str">
        <f>IF(COUNTIF(QuickSpecsList!A:A, B423) &gt; 0, "Yes", "No")</f>
        <v>Yes</v>
      </c>
    </row>
    <row r="424" spans="2:5" hidden="1" x14ac:dyDescent="0.25">
      <c r="B424" t="s">
        <v>747</v>
      </c>
      <c r="C424" t="s">
        <v>748</v>
      </c>
      <c r="E424" t="str">
        <f>IF(COUNTIF(QuickSpecsList!A:A, B424) &gt; 0, "Yes", "No")</f>
        <v>Yes</v>
      </c>
    </row>
    <row r="425" spans="2:5" hidden="1" x14ac:dyDescent="0.25">
      <c r="B425" t="s">
        <v>751</v>
      </c>
      <c r="C425" t="s">
        <v>752</v>
      </c>
      <c r="E425" t="str">
        <f>IF(COUNTIF(QuickSpecsList!A:A, B425) &gt; 0, "Yes", "No")</f>
        <v>Yes</v>
      </c>
    </row>
    <row r="426" spans="2:5" hidden="1" x14ac:dyDescent="0.25">
      <c r="B426" t="s">
        <v>1044</v>
      </c>
      <c r="C426" t="s">
        <v>1045</v>
      </c>
      <c r="E426" t="str">
        <f>IF(COUNTIF(QuickSpecsList!A:A, B426) &gt; 0, "Yes", "No")</f>
        <v>Yes</v>
      </c>
    </row>
    <row r="427" spans="2:5" hidden="1" x14ac:dyDescent="0.25">
      <c r="B427" t="s">
        <v>1038</v>
      </c>
      <c r="C427" t="s">
        <v>1039</v>
      </c>
      <c r="E427" t="str">
        <f>IF(COUNTIF(QuickSpecsList!A:A, B427) &gt; 0, "Yes", "No")</f>
        <v>Yes</v>
      </c>
    </row>
    <row r="428" spans="2:5" hidden="1" x14ac:dyDescent="0.25">
      <c r="B428" t="s">
        <v>741</v>
      </c>
      <c r="C428" t="s">
        <v>742</v>
      </c>
      <c r="E428" t="str">
        <f>IF(COUNTIF(QuickSpecsList!A:A, B428) &gt; 0, "Yes", "No")</f>
        <v>Yes</v>
      </c>
    </row>
    <row r="429" spans="2:5" hidden="1" x14ac:dyDescent="0.25">
      <c r="B429" t="s">
        <v>739</v>
      </c>
      <c r="C429" t="s">
        <v>740</v>
      </c>
      <c r="E429" t="str">
        <f>IF(COUNTIF(QuickSpecsList!A:A, B429) &gt; 0, "Yes", "No")</f>
        <v>Yes</v>
      </c>
    </row>
    <row r="430" spans="2:5" hidden="1" x14ac:dyDescent="0.25">
      <c r="B430" t="s">
        <v>743</v>
      </c>
      <c r="C430" t="s">
        <v>744</v>
      </c>
      <c r="E430" t="str">
        <f>IF(COUNTIF(QuickSpecsList!A:A, B430) &gt; 0, "Yes", "No")</f>
        <v>Yes</v>
      </c>
    </row>
    <row r="431" spans="2:5" hidden="1" x14ac:dyDescent="0.25">
      <c r="B431" t="s">
        <v>1071</v>
      </c>
      <c r="C431" t="s">
        <v>1072</v>
      </c>
      <c r="E431" t="str">
        <f>IF(COUNTIF(QuickSpecsList!A:A, B431) &gt; 0, "Yes", "No")</f>
        <v>Yes</v>
      </c>
    </row>
    <row r="432" spans="2:5" hidden="1" x14ac:dyDescent="0.25">
      <c r="B432" t="s">
        <v>1069</v>
      </c>
      <c r="C432" t="s">
        <v>1070</v>
      </c>
      <c r="E432" t="str">
        <f>IF(COUNTIF(QuickSpecsList!A:A, B432) &gt; 0, "Yes", "No")</f>
        <v>Yes</v>
      </c>
    </row>
    <row r="433" spans="2:5" hidden="1" x14ac:dyDescent="0.25">
      <c r="B433" t="s">
        <v>745</v>
      </c>
      <c r="C433" t="s">
        <v>746</v>
      </c>
      <c r="E433" t="str">
        <f>IF(COUNTIF(QuickSpecsList!A:A, B433) &gt; 0, "Yes", "No")</f>
        <v>Yes</v>
      </c>
    </row>
    <row r="434" spans="2:5" hidden="1" x14ac:dyDescent="0.25">
      <c r="B434" t="s">
        <v>371</v>
      </c>
      <c r="C434" t="s">
        <v>372</v>
      </c>
      <c r="E434" t="str">
        <f>IF(COUNTIF(QuickSpecsList!A:A, B434) &gt; 0, "Yes", "No")</f>
        <v>Yes</v>
      </c>
    </row>
    <row r="435" spans="2:5" hidden="1" x14ac:dyDescent="0.25">
      <c r="B435" t="s">
        <v>373</v>
      </c>
      <c r="C435" t="s">
        <v>374</v>
      </c>
      <c r="E435" t="str">
        <f>IF(COUNTIF(QuickSpecsList!A:A, B435) &gt; 0, "Yes", "No")</f>
        <v>Yes</v>
      </c>
    </row>
    <row r="436" spans="2:5" hidden="1" x14ac:dyDescent="0.25">
      <c r="B436" t="s">
        <v>359</v>
      </c>
      <c r="C436" t="s">
        <v>360</v>
      </c>
      <c r="E436" t="str">
        <f>IF(COUNTIF(QuickSpecsList!A:A, B436) &gt; 0, "Yes", "No")</f>
        <v>Yes</v>
      </c>
    </row>
    <row r="437" spans="2:5" hidden="1" x14ac:dyDescent="0.25">
      <c r="B437" t="s">
        <v>356</v>
      </c>
      <c r="C437" t="s">
        <v>357</v>
      </c>
      <c r="E437" t="str">
        <f>IF(COUNTIF(QuickSpecsList!A:A, B437) &gt; 0, "Yes", "No")</f>
        <v>Yes</v>
      </c>
    </row>
    <row r="438" spans="2:5" hidden="1" x14ac:dyDescent="0.25">
      <c r="B438" t="s">
        <v>1053</v>
      </c>
      <c r="C438" t="s">
        <v>1054</v>
      </c>
      <c r="E438" t="str">
        <f>IF(COUNTIF(QuickSpecsList!A:A, B438) &gt; 0, "Yes", "No")</f>
        <v>Yes</v>
      </c>
    </row>
    <row r="439" spans="2:5" hidden="1" x14ac:dyDescent="0.25">
      <c r="B439" t="s">
        <v>1051</v>
      </c>
      <c r="C439" t="s">
        <v>1052</v>
      </c>
      <c r="E439" t="str">
        <f>IF(COUNTIF(QuickSpecsList!A:A, B439) &gt; 0, "Yes", "No")</f>
        <v>Yes</v>
      </c>
    </row>
    <row r="440" spans="2:5" hidden="1" x14ac:dyDescent="0.25">
      <c r="B440" t="s">
        <v>691</v>
      </c>
      <c r="C440" t="s">
        <v>692</v>
      </c>
      <c r="E440" t="str">
        <f>IF(COUNTIF(QuickSpecsList!A:A, B440) &gt; 0, "Yes", "No")</f>
        <v>Yes</v>
      </c>
    </row>
    <row r="441" spans="2:5" hidden="1" x14ac:dyDescent="0.25">
      <c r="B441" t="s">
        <v>693</v>
      </c>
      <c r="C441" t="s">
        <v>694</v>
      </c>
      <c r="E441" t="str">
        <f>IF(COUNTIF(QuickSpecsList!A:A, B441) &gt; 0, "Yes", "No")</f>
        <v>Yes</v>
      </c>
    </row>
    <row r="442" spans="2:5" hidden="1" x14ac:dyDescent="0.25">
      <c r="B442" t="s">
        <v>393</v>
      </c>
      <c r="C442" t="s">
        <v>394</v>
      </c>
      <c r="E442" t="str">
        <f>IF(COUNTIF(QuickSpecsList!A:A, B442) &gt; 0, "Yes", "No")</f>
        <v>Yes</v>
      </c>
    </row>
    <row r="443" spans="2:5" hidden="1" x14ac:dyDescent="0.25">
      <c r="B443" t="s">
        <v>395</v>
      </c>
      <c r="C443" t="s">
        <v>396</v>
      </c>
      <c r="E443" t="str">
        <f>IF(COUNTIF(QuickSpecsList!A:A, B443) &gt; 0, "Yes", "No")</f>
        <v>Yes</v>
      </c>
    </row>
    <row r="444" spans="2:5" hidden="1" x14ac:dyDescent="0.25">
      <c r="B444" t="s">
        <v>633</v>
      </c>
      <c r="C444" t="s">
        <v>634</v>
      </c>
      <c r="E444" t="str">
        <f>IF(COUNTIF(QuickSpecsList!A:A, B444) &gt; 0, "Yes", "No")</f>
        <v>Yes</v>
      </c>
    </row>
    <row r="445" spans="2:5" hidden="1" x14ac:dyDescent="0.25">
      <c r="B445" t="s">
        <v>421</v>
      </c>
      <c r="C445" t="s">
        <v>422</v>
      </c>
      <c r="E445" t="str">
        <f>IF(COUNTIF(QuickSpecsList!A:A, B445) &gt; 0, "Yes", "No")</f>
        <v>Yes</v>
      </c>
    </row>
    <row r="446" spans="2:5" hidden="1" x14ac:dyDescent="0.25">
      <c r="B446" t="s">
        <v>461</v>
      </c>
      <c r="C446" t="s">
        <v>462</v>
      </c>
      <c r="E446" t="str">
        <f>IF(COUNTIF(QuickSpecsList!A:A, B446) &gt; 0, "Yes", "No")</f>
        <v>Yes</v>
      </c>
    </row>
    <row r="447" spans="2:5" hidden="1" x14ac:dyDescent="0.25">
      <c r="B447" t="s">
        <v>479</v>
      </c>
      <c r="C447" t="s">
        <v>480</v>
      </c>
      <c r="E447" t="str">
        <f>IF(COUNTIF(QuickSpecsList!A:A, B447) &gt; 0, "Yes", "No")</f>
        <v>Yes</v>
      </c>
    </row>
    <row r="448" spans="2:5" hidden="1" x14ac:dyDescent="0.25">
      <c r="B448" t="s">
        <v>903</v>
      </c>
      <c r="C448" t="s">
        <v>904</v>
      </c>
      <c r="E448" t="str">
        <f>IF(COUNTIF(QuickSpecsList!A:A, B448) &gt; 0, "Yes", "No")</f>
        <v>Yes</v>
      </c>
    </row>
    <row r="449" spans="2:5" x14ac:dyDescent="0.25">
      <c r="B449" t="s">
        <v>1225</v>
      </c>
      <c r="C449" t="s">
        <v>1226</v>
      </c>
      <c r="E449" t="str">
        <f>IF(COUNTIF(QuickSpecsList!A:A, B449) &gt; 0, "Yes", "No")</f>
        <v>Yes</v>
      </c>
    </row>
    <row r="450" spans="2:5" hidden="1" x14ac:dyDescent="0.25">
      <c r="B450" t="s">
        <v>1030</v>
      </c>
      <c r="C450" t="s">
        <v>1031</v>
      </c>
      <c r="E450" t="str">
        <f>IF(COUNTIF(QuickSpecsList!A:A, B450) &gt; 0, "Yes", "No")</f>
        <v>Yes</v>
      </c>
    </row>
    <row r="451" spans="2:5" hidden="1" x14ac:dyDescent="0.25">
      <c r="B451" t="s">
        <v>1096</v>
      </c>
      <c r="C451" t="s">
        <v>1097</v>
      </c>
      <c r="E451" t="str">
        <f>IF(COUNTIF(QuickSpecsList!A:A, B451) &gt; 0, "Yes", "No")</f>
        <v>Yes</v>
      </c>
    </row>
    <row r="452" spans="2:5" hidden="1" x14ac:dyDescent="0.25">
      <c r="B452" t="s">
        <v>257</v>
      </c>
      <c r="C452" t="s">
        <v>258</v>
      </c>
      <c r="E452" t="str">
        <f>IF(COUNTIF(QuickSpecsList!A:A, B452) &gt; 0, "Yes", "No")</f>
        <v>Yes</v>
      </c>
    </row>
    <row r="453" spans="2:5" hidden="1" x14ac:dyDescent="0.25">
      <c r="B453" t="s">
        <v>1000</v>
      </c>
      <c r="C453" t="s">
        <v>1001</v>
      </c>
      <c r="E453" t="str">
        <f>IF(COUNTIF(QuickSpecsList!A:A, B453) &gt; 0, "Yes", "No")</f>
        <v>Yes</v>
      </c>
    </row>
    <row r="454" spans="2:5" x14ac:dyDescent="0.25">
      <c r="B454" t="s">
        <v>1227</v>
      </c>
      <c r="C454" t="s">
        <v>1228</v>
      </c>
      <c r="E454" t="str">
        <f>IF(COUNTIF(QuickSpecsList!A:A, B454) &gt; 0, "Yes", "No")</f>
        <v>Yes</v>
      </c>
    </row>
    <row r="455" spans="2:5" hidden="1" x14ac:dyDescent="0.25">
      <c r="B455" t="s">
        <v>1036</v>
      </c>
      <c r="C455" t="s">
        <v>1037</v>
      </c>
      <c r="E455" t="str">
        <f>IF(COUNTIF(QuickSpecsList!A:A, B455) &gt; 0, "Yes", "No")</f>
        <v>Yes</v>
      </c>
    </row>
    <row r="456" spans="2:5" hidden="1" x14ac:dyDescent="0.25">
      <c r="B456" t="s">
        <v>569</v>
      </c>
      <c r="C456" t="s">
        <v>570</v>
      </c>
      <c r="E456" t="str">
        <f>IF(COUNTIF(QuickSpecsList!A:A, B456) &gt; 0, "Yes", "No")</f>
        <v>Yes</v>
      </c>
    </row>
    <row r="457" spans="2:5" hidden="1" x14ac:dyDescent="0.25">
      <c r="B457" t="s">
        <v>286</v>
      </c>
      <c r="C457" t="s">
        <v>287</v>
      </c>
      <c r="E457" t="str">
        <f>IF(COUNTIF(QuickSpecsList!A:A, B457) &gt; 0, "Yes", "No")</f>
        <v>Yes</v>
      </c>
    </row>
    <row r="458" spans="2:5" hidden="1" x14ac:dyDescent="0.25">
      <c r="B458" t="s">
        <v>938</v>
      </c>
      <c r="C458" t="s">
        <v>939</v>
      </c>
      <c r="E458" t="str">
        <f>IF(COUNTIF(QuickSpecsList!A:A, B458) &gt; 0, "Yes", "No")</f>
        <v>Yes</v>
      </c>
    </row>
    <row r="459" spans="2:5" hidden="1" x14ac:dyDescent="0.25">
      <c r="B459" t="s">
        <v>111</v>
      </c>
      <c r="C459" t="s">
        <v>112</v>
      </c>
      <c r="E459" t="str">
        <f>IF(COUNTIF(QuickSpecsList!A:A, B459) &gt; 0, "Yes", "No")</f>
        <v>Yes</v>
      </c>
    </row>
    <row r="460" spans="2:5" hidden="1" x14ac:dyDescent="0.25">
      <c r="B460" t="s">
        <v>946</v>
      </c>
      <c r="C460" t="s">
        <v>947</v>
      </c>
      <c r="E460" t="str">
        <f>IF(COUNTIF(QuickSpecsList!A:A, B460) &gt; 0, "Yes", "No")</f>
        <v>Yes</v>
      </c>
    </row>
    <row r="461" spans="2:5" hidden="1" x14ac:dyDescent="0.25">
      <c r="B461" t="s">
        <v>723</v>
      </c>
      <c r="C461" t="s">
        <v>724</v>
      </c>
      <c r="E461" t="str">
        <f>IF(COUNTIF(QuickSpecsList!A:A, B461) &gt; 0, "Yes", "No")</f>
        <v>Yes</v>
      </c>
    </row>
    <row r="462" spans="2:5" x14ac:dyDescent="0.25">
      <c r="B462" t="s">
        <v>1168</v>
      </c>
      <c r="C462" t="s">
        <v>1169</v>
      </c>
      <c r="E462" t="str">
        <f>IF(COUNTIF(QuickSpecsList!A:A, B462) &gt; 0, "Yes", "No")</f>
        <v>Yes</v>
      </c>
    </row>
    <row r="463" spans="2:5" hidden="1" x14ac:dyDescent="0.25">
      <c r="B463" t="s">
        <v>538</v>
      </c>
      <c r="C463" t="s">
        <v>539</v>
      </c>
      <c r="E463" t="str">
        <f>IF(COUNTIF(QuickSpecsList!A:A, B463) &gt; 0, "Yes", "No")</f>
        <v>Yes</v>
      </c>
    </row>
    <row r="464" spans="2:5" hidden="1" x14ac:dyDescent="0.25">
      <c r="B464" t="s">
        <v>536</v>
      </c>
      <c r="C464" t="s">
        <v>537</v>
      </c>
      <c r="E464" t="str">
        <f>IF(COUNTIF(QuickSpecsList!A:A, B464) &gt; 0, "Yes", "No")</f>
        <v>Yes</v>
      </c>
    </row>
    <row r="465" spans="2:5" hidden="1" x14ac:dyDescent="0.25">
      <c r="B465" t="s">
        <v>1002</v>
      </c>
      <c r="C465" t="s">
        <v>1003</v>
      </c>
      <c r="E465" t="str">
        <f>IF(COUNTIF(QuickSpecsList!A:A, B465) &gt; 0, "Yes", "No")</f>
        <v>Yes</v>
      </c>
    </row>
    <row r="466" spans="2:5" hidden="1" x14ac:dyDescent="0.25">
      <c r="B466" t="s">
        <v>817</v>
      </c>
      <c r="C466" t="s">
        <v>818</v>
      </c>
      <c r="E466" t="str">
        <f>IF(COUNTIF(QuickSpecsList!A:A, B466) &gt; 0, "Yes", "No")</f>
        <v>Yes</v>
      </c>
    </row>
    <row r="467" spans="2:5" x14ac:dyDescent="0.25">
      <c r="B467" t="s">
        <v>1229</v>
      </c>
      <c r="C467" t="s">
        <v>1230</v>
      </c>
      <c r="E467" t="str">
        <f>IF(COUNTIF(QuickSpecsList!A:A, B467) &gt; 0, "Yes", "No")</f>
        <v>Yes</v>
      </c>
    </row>
    <row r="468" spans="2:5" hidden="1" x14ac:dyDescent="0.25">
      <c r="B468" t="s">
        <v>571</v>
      </c>
      <c r="C468" t="s">
        <v>572</v>
      </c>
      <c r="E468" t="str">
        <f>IF(COUNTIF(QuickSpecsList!A:A, B468) &gt; 0, "Yes", "No")</f>
        <v>Yes</v>
      </c>
    </row>
    <row r="469" spans="2:5" hidden="1" x14ac:dyDescent="0.25">
      <c r="B469" t="s">
        <v>1010</v>
      </c>
      <c r="C469" t="s">
        <v>1011</v>
      </c>
      <c r="E469" t="str">
        <f>IF(COUNTIF(QuickSpecsList!A:A, B469) &gt; 0, "Yes", "No")</f>
        <v>Yes</v>
      </c>
    </row>
    <row r="470" spans="2:5" hidden="1" x14ac:dyDescent="0.25">
      <c r="B470" t="s">
        <v>940</v>
      </c>
      <c r="C470" t="s">
        <v>941</v>
      </c>
      <c r="E470" t="str">
        <f>IF(COUNTIF(QuickSpecsList!A:A, B470) &gt; 0, "Yes", "No")</f>
        <v>Yes</v>
      </c>
    </row>
    <row r="471" spans="2:5" x14ac:dyDescent="0.25">
      <c r="B471" t="s">
        <v>1231</v>
      </c>
      <c r="C471" t="s">
        <v>1232</v>
      </c>
      <c r="E471" t="str">
        <f>IF(COUNTIF(QuickSpecsList!A:A, B471) &gt; 0, "Yes", "No")</f>
        <v>Yes</v>
      </c>
    </row>
    <row r="472" spans="2:5" hidden="1" x14ac:dyDescent="0.25">
      <c r="B472" t="s">
        <v>968</v>
      </c>
      <c r="C472" t="s">
        <v>969</v>
      </c>
      <c r="E472" t="str">
        <f>IF(COUNTIF(QuickSpecsList!A:A, B472) &gt; 0, "Yes", "No")</f>
        <v>Yes</v>
      </c>
    </row>
    <row r="473" spans="2:5" x14ac:dyDescent="0.25">
      <c r="B473" t="s">
        <v>1233</v>
      </c>
      <c r="C473" t="s">
        <v>1234</v>
      </c>
      <c r="E473" t="str">
        <f>IF(COUNTIF(QuickSpecsList!A:A, B473) &gt; 0, "Yes", "No")</f>
        <v>Yes</v>
      </c>
    </row>
    <row r="474" spans="2:5" hidden="1" x14ac:dyDescent="0.25">
      <c r="B474" t="s">
        <v>1104</v>
      </c>
      <c r="C474" t="s">
        <v>1105</v>
      </c>
      <c r="E474" t="str">
        <f>IF(COUNTIF(QuickSpecsList!A:A, B474) &gt; 0, "Yes", "No")</f>
        <v>Yes</v>
      </c>
    </row>
    <row r="475" spans="2:5" hidden="1" x14ac:dyDescent="0.25">
      <c r="B475" t="s">
        <v>146</v>
      </c>
      <c r="C475" t="s">
        <v>1235</v>
      </c>
      <c r="E475" t="str">
        <f>IF(COUNTIF(QuickSpecsList!A:A, B475) &gt; 0, "Yes", "No")</f>
        <v>Yes</v>
      </c>
    </row>
    <row r="476" spans="2:5" hidden="1" x14ac:dyDescent="0.25">
      <c r="B476" t="s">
        <v>441</v>
      </c>
      <c r="C476" t="s">
        <v>1236</v>
      </c>
      <c r="E476" t="str">
        <f>IF(COUNTIF(QuickSpecsList!A:A, B476) &gt; 0, "Yes", "No")</f>
        <v>Yes</v>
      </c>
    </row>
    <row r="477" spans="2:5" x14ac:dyDescent="0.25">
      <c r="B477" t="s">
        <v>1237</v>
      </c>
      <c r="C477" t="s">
        <v>1238</v>
      </c>
      <c r="E477" t="str">
        <f>IF(COUNTIF(QuickSpecsList!A:A, B477) &gt; 0, "Yes", "No")</f>
        <v>Yes</v>
      </c>
    </row>
    <row r="478" spans="2:5" x14ac:dyDescent="0.25">
      <c r="B478" t="s">
        <v>1239</v>
      </c>
      <c r="C478" t="s">
        <v>1240</v>
      </c>
      <c r="E478" t="str">
        <f>IF(COUNTIF(QuickSpecsList!A:A, B478) &gt; 0, "Yes", "No")</f>
        <v>Yes</v>
      </c>
    </row>
    <row r="479" spans="2:5" x14ac:dyDescent="0.25">
      <c r="B479" t="s">
        <v>1241</v>
      </c>
      <c r="C479" t="s">
        <v>1242</v>
      </c>
      <c r="E479" t="str">
        <f>IF(COUNTIF(QuickSpecsList!A:A, B479) &gt; 0, "Yes", "No")</f>
        <v>Yes</v>
      </c>
    </row>
    <row r="480" spans="2:5" hidden="1" x14ac:dyDescent="0.25">
      <c r="B480" t="s">
        <v>1022</v>
      </c>
      <c r="C480" t="s">
        <v>1023</v>
      </c>
      <c r="E480" t="str">
        <f>IF(COUNTIF(QuickSpecsList!A:A, B480) &gt; 0, "Yes", "No")</f>
        <v>Yes</v>
      </c>
    </row>
    <row r="481" spans="2:5" hidden="1" x14ac:dyDescent="0.25">
      <c r="B481" t="s">
        <v>1032</v>
      </c>
      <c r="C481" t="s">
        <v>1033</v>
      </c>
      <c r="E481" t="str">
        <f>IF(COUNTIF(QuickSpecsList!A:A, B481) &gt; 0, "Yes", "No")</f>
        <v>Yes</v>
      </c>
    </row>
    <row r="482" spans="2:5" hidden="1" x14ac:dyDescent="0.25">
      <c r="B482" t="s">
        <v>473</v>
      </c>
      <c r="C482" t="s">
        <v>474</v>
      </c>
      <c r="E482" t="str">
        <f>IF(COUNTIF(QuickSpecsList!A:A, B482) &gt; 0, "Yes", "No")</f>
        <v>Yes</v>
      </c>
    </row>
    <row r="483" spans="2:5" x14ac:dyDescent="0.25">
      <c r="B483" t="s">
        <v>1243</v>
      </c>
      <c r="C483" t="s">
        <v>1244</v>
      </c>
      <c r="E483" t="str">
        <f>IF(COUNTIF(QuickSpecsList!A:A, B483) &gt; 0, "Yes", "No")</f>
        <v>Yes</v>
      </c>
    </row>
    <row r="484" spans="2:5" hidden="1" x14ac:dyDescent="0.25">
      <c r="B484" t="s">
        <v>133</v>
      </c>
      <c r="C484" t="s">
        <v>134</v>
      </c>
      <c r="E484" t="str">
        <f>IF(COUNTIF(QuickSpecsList!A:A, B484) &gt; 0, "Yes", "No")</f>
        <v>Yes</v>
      </c>
    </row>
    <row r="485" spans="2:5" x14ac:dyDescent="0.25">
      <c r="B485" t="s">
        <v>1245</v>
      </c>
      <c r="C485" t="s">
        <v>1246</v>
      </c>
      <c r="E485" t="str">
        <f>IF(COUNTIF(QuickSpecsList!A:A, B485) &gt; 0, "Yes", "No")</f>
        <v>Yes</v>
      </c>
    </row>
    <row r="486" spans="2:5" hidden="1" x14ac:dyDescent="0.25">
      <c r="B486" t="s">
        <v>1034</v>
      </c>
      <c r="C486" t="s">
        <v>1035</v>
      </c>
      <c r="E486" t="str">
        <f>IF(COUNTIF(QuickSpecsList!A:A, B486) &gt; 0, "Yes", "No")</f>
        <v>Yes</v>
      </c>
    </row>
    <row r="487" spans="2:5" hidden="1" x14ac:dyDescent="0.25">
      <c r="B487" t="s">
        <v>964</v>
      </c>
      <c r="C487" t="s">
        <v>965</v>
      </c>
      <c r="E487" t="str">
        <f>IF(COUNTIF(QuickSpecsList!A:A, B487) &gt; 0, "Yes", "No")</f>
        <v>Yes</v>
      </c>
    </row>
    <row r="488" spans="2:5" hidden="1" x14ac:dyDescent="0.25">
      <c r="B488" t="s">
        <v>249</v>
      </c>
      <c r="C488" t="s">
        <v>250</v>
      </c>
      <c r="E488" t="str">
        <f>IF(COUNTIF(QuickSpecsList!A:A, B488) &gt; 0, "Yes", "No")</f>
        <v>Yes</v>
      </c>
    </row>
    <row r="489" spans="2:5" hidden="1" x14ac:dyDescent="0.25">
      <c r="B489" t="s">
        <v>1028</v>
      </c>
      <c r="C489" t="s">
        <v>1029</v>
      </c>
      <c r="E489" t="str">
        <f>IF(COUNTIF(QuickSpecsList!A:A, B489) &gt; 0, "Yes", "No")</f>
        <v>Yes</v>
      </c>
    </row>
    <row r="490" spans="2:5" hidden="1" x14ac:dyDescent="0.25">
      <c r="B490" t="s">
        <v>332</v>
      </c>
      <c r="C490" t="s">
        <v>333</v>
      </c>
      <c r="E490" t="str">
        <f>IF(COUNTIF(QuickSpecsList!A:A, B490) &gt; 0, "Yes", "No")</f>
        <v>Yes</v>
      </c>
    </row>
    <row r="491" spans="2:5" hidden="1" x14ac:dyDescent="0.25">
      <c r="B491" t="s">
        <v>334</v>
      </c>
      <c r="C491" t="s">
        <v>335</v>
      </c>
      <c r="E491" t="str">
        <f>IF(COUNTIF(QuickSpecsList!A:A, B491) &gt; 0, "Yes", "No")</f>
        <v>Yes</v>
      </c>
    </row>
    <row r="492" spans="2:5" hidden="1" x14ac:dyDescent="0.25">
      <c r="B492" t="s">
        <v>175</v>
      </c>
      <c r="C492" t="s">
        <v>176</v>
      </c>
      <c r="E492" t="str">
        <f>IF(COUNTIF(QuickSpecsList!A:A, B492) &gt; 0, "Yes", "No")</f>
        <v>Yes</v>
      </c>
    </row>
    <row r="493" spans="2:5" hidden="1" x14ac:dyDescent="0.25">
      <c r="B493" t="s">
        <v>243</v>
      </c>
      <c r="C493" t="s">
        <v>244</v>
      </c>
      <c r="E493" t="str">
        <f>IF(COUNTIF(QuickSpecsList!A:A, B493) &gt; 0, "Yes", "No")</f>
        <v>Yes</v>
      </c>
    </row>
    <row r="494" spans="2:5" hidden="1" x14ac:dyDescent="0.25">
      <c r="B494" t="s">
        <v>246</v>
      </c>
      <c r="C494" t="s">
        <v>247</v>
      </c>
      <c r="E494" t="str">
        <f>IF(COUNTIF(QuickSpecsList!A:A, B494) &gt; 0, "Yes", "No")</f>
        <v>Yes</v>
      </c>
    </row>
    <row r="495" spans="2:5" hidden="1" x14ac:dyDescent="0.25">
      <c r="B495" t="s">
        <v>1024</v>
      </c>
      <c r="C495" t="s">
        <v>1025</v>
      </c>
      <c r="E495" t="str">
        <f>IF(COUNTIF(QuickSpecsList!A:A, B495) &gt; 0, "Yes", "No")</f>
        <v>Yes</v>
      </c>
    </row>
    <row r="496" spans="2:5" hidden="1" x14ac:dyDescent="0.25">
      <c r="B496" t="s">
        <v>727</v>
      </c>
      <c r="C496" t="s">
        <v>728</v>
      </c>
      <c r="E496" t="str">
        <f>IF(COUNTIF(QuickSpecsList!A:A, B496) &gt; 0, "Yes", "No")</f>
        <v>Yes</v>
      </c>
    </row>
    <row r="497" spans="2:5" hidden="1" x14ac:dyDescent="0.25">
      <c r="B497" t="s">
        <v>330</v>
      </c>
      <c r="C497" t="s">
        <v>331</v>
      </c>
      <c r="E497" t="str">
        <f>IF(COUNTIF(QuickSpecsList!A:A, B497) &gt; 0, "Yes", "No")</f>
        <v>Yes</v>
      </c>
    </row>
    <row r="498" spans="2:5" hidden="1" x14ac:dyDescent="0.25">
      <c r="B498" t="s">
        <v>1061</v>
      </c>
      <c r="C498" t="s">
        <v>1062</v>
      </c>
      <c r="E498" t="str">
        <f>IF(COUNTIF(QuickSpecsList!A:A, B498) &gt; 0, "Yes", "No")</f>
        <v>Yes</v>
      </c>
    </row>
    <row r="499" spans="2:5" hidden="1" x14ac:dyDescent="0.25">
      <c r="B499" t="s">
        <v>1084</v>
      </c>
      <c r="C499" t="s">
        <v>1085</v>
      </c>
      <c r="E499" t="str">
        <f>IF(COUNTIF(QuickSpecsList!A:A, B499) &gt; 0, "Yes", "No")</f>
        <v>Yes</v>
      </c>
    </row>
    <row r="500" spans="2:5" x14ac:dyDescent="0.25">
      <c r="B500" t="s">
        <v>1247</v>
      </c>
      <c r="C500" t="s">
        <v>1248</v>
      </c>
      <c r="E500" t="str">
        <f>IF(COUNTIF(QuickSpecsList!A:A, B500) &gt; 0, "Yes", "No")</f>
        <v>Yes</v>
      </c>
    </row>
    <row r="501" spans="2:5" x14ac:dyDescent="0.25">
      <c r="B501" t="s">
        <v>1249</v>
      </c>
      <c r="C501" t="s">
        <v>1250</v>
      </c>
      <c r="E501" t="str">
        <f>IF(COUNTIF(QuickSpecsList!A:A, B501) &gt; 0, "Yes", "No")</f>
        <v>Yes</v>
      </c>
    </row>
    <row r="502" spans="2:5" hidden="1" x14ac:dyDescent="0.25">
      <c r="B502" t="s">
        <v>611</v>
      </c>
      <c r="C502" t="s">
        <v>612</v>
      </c>
      <c r="E502" t="str">
        <f>IF(COUNTIF(QuickSpecsList!A:A, B502) &gt; 0, "Yes", "No")</f>
        <v>Yes</v>
      </c>
    </row>
    <row r="503" spans="2:5" hidden="1" x14ac:dyDescent="0.25">
      <c r="B503" t="s">
        <v>265</v>
      </c>
      <c r="C503" t="s">
        <v>266</v>
      </c>
      <c r="E503" t="str">
        <f>IF(COUNTIF(QuickSpecsList!A:A, B503) &gt; 0, "Yes", "No")</f>
        <v>Yes</v>
      </c>
    </row>
    <row r="504" spans="2:5" x14ac:dyDescent="0.25">
      <c r="B504" t="s">
        <v>1166</v>
      </c>
      <c r="C504" t="s">
        <v>1167</v>
      </c>
      <c r="E504" t="str">
        <f>IF(COUNTIF(QuickSpecsList!A:A, B504) &gt; 0, "Yes", "No")</f>
        <v>Yes</v>
      </c>
    </row>
    <row r="505" spans="2:5" hidden="1" x14ac:dyDescent="0.25">
      <c r="B505" t="s">
        <v>927</v>
      </c>
      <c r="C505" t="s">
        <v>928</v>
      </c>
      <c r="E505" t="str">
        <f>IF(COUNTIF(QuickSpecsList!A:A, B505) &gt; 0, "Yes", "No")</f>
        <v>Yes</v>
      </c>
    </row>
    <row r="506" spans="2:5" hidden="1" x14ac:dyDescent="0.25">
      <c r="B506" t="s">
        <v>563</v>
      </c>
      <c r="C506" t="s">
        <v>564</v>
      </c>
      <c r="E506" t="str">
        <f>IF(COUNTIF(QuickSpecsList!A:A, B506) &gt; 0, "Yes", "No")</f>
        <v>Yes</v>
      </c>
    </row>
    <row r="507" spans="2:5" hidden="1" x14ac:dyDescent="0.25">
      <c r="B507" t="s">
        <v>455</v>
      </c>
      <c r="C507" t="s">
        <v>456</v>
      </c>
      <c r="E507" t="str">
        <f>IF(COUNTIF(QuickSpecsList!A:A, B507) &gt; 0, "Yes", "No")</f>
        <v>Yes</v>
      </c>
    </row>
    <row r="508" spans="2:5" hidden="1" x14ac:dyDescent="0.25">
      <c r="B508" t="s">
        <v>397</v>
      </c>
      <c r="C508" t="s">
        <v>398</v>
      </c>
      <c r="E508" t="str">
        <f>IF(COUNTIF(QuickSpecsList!A:A, B508) &gt; 0, "Yes", "No")</f>
        <v>Yes</v>
      </c>
    </row>
    <row r="509" spans="2:5" hidden="1" x14ac:dyDescent="0.25">
      <c r="B509" t="s">
        <v>857</v>
      </c>
      <c r="C509" t="s">
        <v>858</v>
      </c>
      <c r="E509" t="str">
        <f>IF(COUNTIF(QuickSpecsList!A:A, B509) &gt; 0, "Yes", "No")</f>
        <v>Yes</v>
      </c>
    </row>
    <row r="510" spans="2:5" hidden="1" x14ac:dyDescent="0.25">
      <c r="B510" t="s">
        <v>872</v>
      </c>
      <c r="C510" t="s">
        <v>873</v>
      </c>
      <c r="E510" t="str">
        <f>IF(COUNTIF(QuickSpecsList!A:A, B510) &gt; 0, "Yes", "No")</f>
        <v>Yes</v>
      </c>
    </row>
    <row r="511" spans="2:5" x14ac:dyDescent="0.25">
      <c r="B511" t="s">
        <v>1251</v>
      </c>
      <c r="C511" t="s">
        <v>1252</v>
      </c>
      <c r="E511" t="str">
        <f>IF(COUNTIF(QuickSpecsList!A:A, B511) &gt; 0, "Yes", "No")</f>
        <v>Yes</v>
      </c>
    </row>
    <row r="512" spans="2:5" hidden="1" x14ac:dyDescent="0.25">
      <c r="B512" t="s">
        <v>935</v>
      </c>
      <c r="C512" t="s">
        <v>936</v>
      </c>
      <c r="E512" t="str">
        <f>IF(COUNTIF(QuickSpecsList!A:A, B512) &gt; 0, "Yes", "No")</f>
        <v>Yes</v>
      </c>
    </row>
    <row r="513" spans="2:5" hidden="1" x14ac:dyDescent="0.25">
      <c r="B513" t="s">
        <v>507</v>
      </c>
      <c r="C513" t="s">
        <v>508</v>
      </c>
      <c r="E513" t="str">
        <f>IF(COUNTIF(QuickSpecsList!A:A, B513) &gt; 0, "Yes", "No")</f>
        <v>Yes</v>
      </c>
    </row>
    <row r="514" spans="2:5" hidden="1" x14ac:dyDescent="0.25">
      <c r="B514" t="s">
        <v>565</v>
      </c>
      <c r="C514" t="s">
        <v>566</v>
      </c>
      <c r="E514" t="str">
        <f>IF(COUNTIF(QuickSpecsList!A:A, B514) &gt; 0, "Yes", "No")</f>
        <v>Yes</v>
      </c>
    </row>
    <row r="515" spans="2:5" hidden="1" x14ac:dyDescent="0.25">
      <c r="B515" t="s">
        <v>208</v>
      </c>
      <c r="C515" t="s">
        <v>209</v>
      </c>
      <c r="E515" t="str">
        <f>IF(COUNTIF(QuickSpecsList!A:A, B515) &gt; 0, "Yes", "No")</f>
        <v>Yes</v>
      </c>
    </row>
    <row r="516" spans="2:5" hidden="1" x14ac:dyDescent="0.25">
      <c r="B516" t="s">
        <v>79</v>
      </c>
      <c r="C516" t="s">
        <v>80</v>
      </c>
      <c r="E516" t="str">
        <f>IF(COUNTIF(QuickSpecsList!A:A, B516) &gt; 0, "Yes", "No")</f>
        <v>Yes</v>
      </c>
    </row>
    <row r="517" spans="2:5" hidden="1" x14ac:dyDescent="0.25">
      <c r="B517" t="s">
        <v>613</v>
      </c>
      <c r="C517" t="s">
        <v>614</v>
      </c>
      <c r="E517" t="str">
        <f>IF(COUNTIF(QuickSpecsList!A:A, B517) &gt; 0, "Yes", "No")</f>
        <v>Yes</v>
      </c>
    </row>
    <row r="518" spans="2:5" hidden="1" x14ac:dyDescent="0.25">
      <c r="B518" t="s">
        <v>505</v>
      </c>
      <c r="C518" t="s">
        <v>506</v>
      </c>
      <c r="E518" t="str">
        <f>IF(COUNTIF(QuickSpecsList!A:A, B518) &gt; 0, "Yes", "No")</f>
        <v>Yes</v>
      </c>
    </row>
    <row r="519" spans="2:5" hidden="1" x14ac:dyDescent="0.25">
      <c r="B519" t="s">
        <v>639</v>
      </c>
      <c r="C519" t="s">
        <v>640</v>
      </c>
      <c r="E519" t="str">
        <f>IF(COUNTIF(QuickSpecsList!A:A, B519) &gt; 0, "Yes", "No")</f>
        <v>Yes</v>
      </c>
    </row>
    <row r="520" spans="2:5" hidden="1" x14ac:dyDescent="0.25">
      <c r="B520" t="s">
        <v>206</v>
      </c>
      <c r="C520" t="s">
        <v>207</v>
      </c>
      <c r="E520" t="str">
        <f>IF(COUNTIF(QuickSpecsList!A:A, B520) &gt; 0, "Yes", "No")</f>
        <v>Yes</v>
      </c>
    </row>
    <row r="521" spans="2:5" hidden="1" x14ac:dyDescent="0.25">
      <c r="B521" t="s">
        <v>125</v>
      </c>
      <c r="C521" t="s">
        <v>126</v>
      </c>
      <c r="E521" t="str">
        <f>IF(COUNTIF(QuickSpecsList!A:A, B521) &gt; 0, "Yes", "No")</f>
        <v>Yes</v>
      </c>
    </row>
    <row r="522" spans="2:5" hidden="1" x14ac:dyDescent="0.25">
      <c r="B522" t="s">
        <v>439</v>
      </c>
      <c r="C522" t="s">
        <v>440</v>
      </c>
      <c r="E522" t="str">
        <f>IF(COUNTIF(QuickSpecsList!A:A, B522) &gt; 0, "Yes", "No")</f>
        <v>Yes</v>
      </c>
    </row>
    <row r="523" spans="2:5" hidden="1" x14ac:dyDescent="0.25">
      <c r="B523" t="s">
        <v>956</v>
      </c>
      <c r="C523" t="s">
        <v>957</v>
      </c>
      <c r="E523" t="str">
        <f>IF(COUNTIF(QuickSpecsList!A:A, B523) &gt; 0, "Yes", "No")</f>
        <v>Yes</v>
      </c>
    </row>
    <row r="524" spans="2:5" hidden="1" x14ac:dyDescent="0.25">
      <c r="B524" t="s">
        <v>602</v>
      </c>
      <c r="C524" t="s">
        <v>603</v>
      </c>
      <c r="E524" t="str">
        <f>IF(COUNTIF(QuickSpecsList!A:A, B524) &gt; 0, "Yes", "No")</f>
        <v>Yes</v>
      </c>
    </row>
    <row r="525" spans="2:5" hidden="1" x14ac:dyDescent="0.25">
      <c r="B525" t="s">
        <v>958</v>
      </c>
      <c r="C525" t="s">
        <v>959</v>
      </c>
      <c r="E525" t="str">
        <f>IF(COUNTIF(QuickSpecsList!A:A, B525) &gt; 0, "Yes", "No")</f>
        <v>Yes</v>
      </c>
    </row>
    <row r="526" spans="2:5" hidden="1" x14ac:dyDescent="0.25">
      <c r="B526" t="s">
        <v>600</v>
      </c>
      <c r="C526" t="s">
        <v>601</v>
      </c>
      <c r="E526" t="str">
        <f>IF(COUNTIF(QuickSpecsList!A:A, B526) &gt; 0, "Yes", "No")</f>
        <v>Yes</v>
      </c>
    </row>
    <row r="527" spans="2:5" x14ac:dyDescent="0.25">
      <c r="B527" t="s">
        <v>1111</v>
      </c>
      <c r="C527" t="s">
        <v>1112</v>
      </c>
      <c r="E527" t="str">
        <f>IF(COUNTIF(QuickSpecsList!A:A, B527) &gt; 0, "Yes", "No")</f>
        <v>Yes</v>
      </c>
    </row>
    <row r="528" spans="2:5" hidden="1" x14ac:dyDescent="0.25">
      <c r="B528" t="s">
        <v>451</v>
      </c>
      <c r="C528" t="s">
        <v>452</v>
      </c>
      <c r="E528" t="str">
        <f>IF(COUNTIF(QuickSpecsList!A:A, B528) &gt; 0, "Yes", "No")</f>
        <v>Yes</v>
      </c>
    </row>
    <row r="529" spans="2:5" hidden="1" x14ac:dyDescent="0.25">
      <c r="B529" t="s">
        <v>453</v>
      </c>
      <c r="C529" t="s">
        <v>454</v>
      </c>
      <c r="E529" t="str">
        <f>IF(COUNTIF(QuickSpecsList!A:A, B529) &gt; 0, "Yes", "No")</f>
        <v>Yes</v>
      </c>
    </row>
    <row r="530" spans="2:5" hidden="1" x14ac:dyDescent="0.25">
      <c r="B530" t="s">
        <v>868</v>
      </c>
      <c r="C530" t="s">
        <v>869</v>
      </c>
      <c r="E530" t="str">
        <f>IF(COUNTIF(QuickSpecsList!A:A, B530) &gt; 0, "Yes", "No")</f>
        <v>Yes</v>
      </c>
    </row>
    <row r="531" spans="2:5" hidden="1" x14ac:dyDescent="0.25">
      <c r="B531" t="s">
        <v>379</v>
      </c>
      <c r="C531" t="s">
        <v>1253</v>
      </c>
      <c r="E531" t="str">
        <f>IF(COUNTIF(QuickSpecsList!A:A, B531) &gt; 0, "Yes", "No")</f>
        <v>Yes</v>
      </c>
    </row>
    <row r="532" spans="2:5" hidden="1" x14ac:dyDescent="0.25">
      <c r="B532" t="s">
        <v>598</v>
      </c>
      <c r="C532" t="s">
        <v>599</v>
      </c>
      <c r="E532" t="str">
        <f>IF(COUNTIF(QuickSpecsList!A:A, B532) &gt; 0, "Yes", "No")</f>
        <v>Yes</v>
      </c>
    </row>
    <row r="533" spans="2:5" hidden="1" x14ac:dyDescent="0.25">
      <c r="B533" t="s">
        <v>783</v>
      </c>
      <c r="C533" t="s">
        <v>784</v>
      </c>
      <c r="E533" t="str">
        <f>IF(COUNTIF(QuickSpecsList!A:A, B533) &gt; 0, "Yes", "No")</f>
        <v>Yes</v>
      </c>
    </row>
    <row r="534" spans="2:5" hidden="1" x14ac:dyDescent="0.25">
      <c r="B534" t="s">
        <v>143</v>
      </c>
      <c r="C534" t="s">
        <v>144</v>
      </c>
      <c r="E534" t="str">
        <f>IF(COUNTIF(QuickSpecsList!A:A, B534) &gt; 0, "Yes", "No")</f>
        <v>Yes</v>
      </c>
    </row>
    <row r="535" spans="2:5" hidden="1" x14ac:dyDescent="0.25">
      <c r="B535" t="s">
        <v>76</v>
      </c>
      <c r="C535" t="s">
        <v>77</v>
      </c>
      <c r="E535" t="str">
        <f>IF(COUNTIF(QuickSpecsList!A:A, B535) &gt; 0, "Yes", "No")</f>
        <v>Yes</v>
      </c>
    </row>
    <row r="536" spans="2:5" hidden="1" x14ac:dyDescent="0.25">
      <c r="B536" t="s">
        <v>864</v>
      </c>
      <c r="C536" t="s">
        <v>865</v>
      </c>
      <c r="E536" t="str">
        <f>IF(COUNTIF(QuickSpecsList!A:A, B536) &gt; 0, "Yes", "No")</f>
        <v>Yes</v>
      </c>
    </row>
    <row r="537" spans="2:5" hidden="1" x14ac:dyDescent="0.25">
      <c r="B537" t="s">
        <v>148</v>
      </c>
      <c r="C537" t="s">
        <v>149</v>
      </c>
      <c r="E537" t="str">
        <f>IF(COUNTIF(QuickSpecsList!A:A, B537) &gt; 0, "Yes", "No")</f>
        <v>Yes</v>
      </c>
    </row>
    <row r="538" spans="2:5" hidden="1" x14ac:dyDescent="0.25">
      <c r="B538" t="s">
        <v>954</v>
      </c>
      <c r="C538" t="s">
        <v>955</v>
      </c>
      <c r="E538" t="str">
        <f>IF(COUNTIF(QuickSpecsList!A:A, B538) &gt; 0, "Yes", "No")</f>
        <v>Yes</v>
      </c>
    </row>
    <row r="539" spans="2:5" hidden="1" x14ac:dyDescent="0.25">
      <c r="B539" t="s">
        <v>996</v>
      </c>
      <c r="C539" t="s">
        <v>997</v>
      </c>
      <c r="E539" t="str">
        <f>IF(COUNTIF(QuickSpecsList!A:A, B539) &gt; 0, "Yes", "No")</f>
        <v>Yes</v>
      </c>
    </row>
    <row r="540" spans="2:5" hidden="1" x14ac:dyDescent="0.25">
      <c r="B540" t="s">
        <v>186</v>
      </c>
      <c r="C540" t="s">
        <v>187</v>
      </c>
      <c r="E540" t="str">
        <f>IF(COUNTIF(QuickSpecsList!A:A, B540) &gt; 0, "Yes", "No")</f>
        <v>Yes</v>
      </c>
    </row>
    <row r="541" spans="2:5" hidden="1" x14ac:dyDescent="0.25">
      <c r="B541" t="s">
        <v>1086</v>
      </c>
      <c r="C541" t="s">
        <v>1254</v>
      </c>
      <c r="E541" t="str">
        <f>IF(COUNTIF(QuickSpecsList!A:A, B541) &gt; 0, "Yes", "No")</f>
        <v>Yes</v>
      </c>
    </row>
    <row r="542" spans="2:5" hidden="1" x14ac:dyDescent="0.25">
      <c r="B542" t="s">
        <v>437</v>
      </c>
      <c r="C542" t="s">
        <v>438</v>
      </c>
      <c r="E542" t="str">
        <f>IF(COUNTIF(QuickSpecsList!A:A, B542) &gt; 0, "Yes", "No")</f>
        <v>Yes</v>
      </c>
    </row>
    <row r="543" spans="2:5" hidden="1" x14ac:dyDescent="0.25">
      <c r="B543" t="s">
        <v>449</v>
      </c>
      <c r="C543" t="s">
        <v>450</v>
      </c>
      <c r="E543" t="str">
        <f>IF(COUNTIF(QuickSpecsList!A:A, B543) &gt; 0, "Yes", "No")</f>
        <v>Yes</v>
      </c>
    </row>
    <row r="544" spans="2:5" hidden="1" x14ac:dyDescent="0.25">
      <c r="B544" t="s">
        <v>22</v>
      </c>
      <c r="C544" t="s">
        <v>23</v>
      </c>
      <c r="E544" t="str">
        <f>IF(COUNTIF(QuickSpecsList!A:A, B544) &gt; 0, "Yes", "No")</f>
        <v>Yes</v>
      </c>
    </row>
    <row r="545" spans="2:5" hidden="1" x14ac:dyDescent="0.25">
      <c r="B545" t="s">
        <v>606</v>
      </c>
      <c r="C545" t="s">
        <v>607</v>
      </c>
      <c r="E545" t="str">
        <f>IF(COUNTIF(QuickSpecsList!A:A, B545) &gt; 0, "Yes", "No")</f>
        <v>Yes</v>
      </c>
    </row>
    <row r="546" spans="2:5" hidden="1" x14ac:dyDescent="0.25">
      <c r="B546" t="s">
        <v>1014</v>
      </c>
      <c r="C546" t="s">
        <v>1015</v>
      </c>
      <c r="E546" t="str">
        <f>IF(COUNTIF(QuickSpecsList!A:A, B546) &gt; 0, "Yes", "No")</f>
        <v>Yes</v>
      </c>
    </row>
    <row r="547" spans="2:5" hidden="1" x14ac:dyDescent="0.25">
      <c r="B547" t="s">
        <v>853</v>
      </c>
      <c r="C547" t="s">
        <v>854</v>
      </c>
      <c r="E547" t="str">
        <f>IF(COUNTIF(QuickSpecsList!A:A, B547) &gt; 0, "Yes", "No")</f>
        <v>Yes</v>
      </c>
    </row>
    <row r="548" spans="2:5" hidden="1" x14ac:dyDescent="0.25">
      <c r="B548" t="s">
        <v>561</v>
      </c>
      <c r="C548" t="s">
        <v>562</v>
      </c>
      <c r="E548" t="str">
        <f>IF(COUNTIF(QuickSpecsList!A:A, B548) &gt; 0, "Yes", "No")</f>
        <v>Yes</v>
      </c>
    </row>
    <row r="549" spans="2:5" hidden="1" x14ac:dyDescent="0.25">
      <c r="B549" t="s">
        <v>214</v>
      </c>
      <c r="C549" t="s">
        <v>215</v>
      </c>
      <c r="E549" t="str">
        <f>IF(COUNTIF(QuickSpecsList!A:A, B549) &gt; 0, "Yes", "No")</f>
        <v>Yes</v>
      </c>
    </row>
    <row r="550" spans="2:5" hidden="1" x14ac:dyDescent="0.25">
      <c r="B550" t="s">
        <v>890</v>
      </c>
      <c r="C550" t="s">
        <v>94</v>
      </c>
      <c r="E550" t="str">
        <f>IF(COUNTIF(QuickSpecsList!A:A, B550) &gt; 0, "Yes", "No")</f>
        <v>Yes</v>
      </c>
    </row>
    <row r="551" spans="2:5" hidden="1" x14ac:dyDescent="0.25">
      <c r="B551" t="s">
        <v>597</v>
      </c>
      <c r="C551" t="s">
        <v>400</v>
      </c>
      <c r="E551" t="str">
        <f>IF(COUNTIF(QuickSpecsList!A:A, B551) &gt; 0, "Yes", "No")</f>
        <v>Yes</v>
      </c>
    </row>
    <row r="552" spans="2:5" hidden="1" x14ac:dyDescent="0.25">
      <c r="B552" t="s">
        <v>855</v>
      </c>
      <c r="C552" t="s">
        <v>856</v>
      </c>
      <c r="E552" t="str">
        <f>IF(COUNTIF(QuickSpecsList!A:A, B552) &gt; 0, "Yes", "No")</f>
        <v>Yes</v>
      </c>
    </row>
    <row r="553" spans="2:5" x14ac:dyDescent="0.25">
      <c r="B553" t="s">
        <v>1255</v>
      </c>
      <c r="C553" t="s">
        <v>1256</v>
      </c>
      <c r="E553" t="str">
        <f>IF(COUNTIF(QuickSpecsList!A:A, B553) &gt; 0, "Yes", "No")</f>
        <v>Yes</v>
      </c>
    </row>
    <row r="554" spans="2:5" hidden="1" x14ac:dyDescent="0.25">
      <c r="B554" t="s">
        <v>866</v>
      </c>
      <c r="C554" t="s">
        <v>867</v>
      </c>
      <c r="E554" t="str">
        <f>IF(COUNTIF(QuickSpecsList!A:A, B554) &gt; 0, "Yes", "No")</f>
        <v>Yes</v>
      </c>
    </row>
    <row r="555" spans="2:5" hidden="1" x14ac:dyDescent="0.25">
      <c r="B555" t="s">
        <v>897</v>
      </c>
      <c r="C555" t="s">
        <v>1257</v>
      </c>
      <c r="E555" t="str">
        <f>IF(COUNTIF(QuickSpecsList!A:A, B555) &gt; 0, "Yes", "No")</f>
        <v>Yes</v>
      </c>
    </row>
    <row r="556" spans="2:5" hidden="1" x14ac:dyDescent="0.25">
      <c r="B556" t="s">
        <v>604</v>
      </c>
      <c r="C556" t="s">
        <v>605</v>
      </c>
      <c r="E556" t="str">
        <f>IF(COUNTIF(QuickSpecsList!A:A, B556) &gt; 0, "Yes", "No")</f>
        <v>Yes</v>
      </c>
    </row>
    <row r="557" spans="2:5" hidden="1" x14ac:dyDescent="0.25">
      <c r="B557" t="s">
        <v>862</v>
      </c>
      <c r="C557" t="s">
        <v>863</v>
      </c>
      <c r="E557" t="str">
        <f>IF(COUNTIF(QuickSpecsList!A:A, B557) &gt; 0, "Yes", "No")</f>
        <v>Yes</v>
      </c>
    </row>
    <row r="558" spans="2:5" hidden="1" x14ac:dyDescent="0.25">
      <c r="B558" t="s">
        <v>893</v>
      </c>
      <c r="C558" t="s">
        <v>894</v>
      </c>
      <c r="E558" t="str">
        <f>IF(COUNTIF(QuickSpecsList!A:A, B558) &gt; 0, "Yes", "No")</f>
        <v>Yes</v>
      </c>
    </row>
    <row r="559" spans="2:5" hidden="1" x14ac:dyDescent="0.25">
      <c r="B559" t="s">
        <v>931</v>
      </c>
      <c r="C559" t="s">
        <v>932</v>
      </c>
      <c r="E559" t="str">
        <f>IF(COUNTIF(QuickSpecsList!A:A, B559) &gt; 0, "Yes", "No")</f>
        <v>Yes</v>
      </c>
    </row>
    <row r="560" spans="2:5" x14ac:dyDescent="0.25">
      <c r="B560" t="s">
        <v>1258</v>
      </c>
      <c r="C560" t="s">
        <v>1259</v>
      </c>
      <c r="E560" t="str">
        <f>IF(COUNTIF(QuickSpecsList!A:A, B560) &gt; 0, "Yes", "No")</f>
        <v>Yes</v>
      </c>
    </row>
    <row r="561" spans="2:5" x14ac:dyDescent="0.25">
      <c r="B561" t="s">
        <v>1260</v>
      </c>
      <c r="C561" t="s">
        <v>1261</v>
      </c>
      <c r="E561" t="str">
        <f>IF(COUNTIF(QuickSpecsList!A:A, B561) &gt; 0, "Yes", "No")</f>
        <v>Yes</v>
      </c>
    </row>
    <row r="562" spans="2:5" hidden="1" x14ac:dyDescent="0.25">
      <c r="B562" t="s">
        <v>188</v>
      </c>
      <c r="C562" t="s">
        <v>189</v>
      </c>
      <c r="E562" t="str">
        <f>IF(COUNTIF(QuickSpecsList!A:A, B562) &gt; 0, "Yes", "No")</f>
        <v>Yes</v>
      </c>
    </row>
    <row r="563" spans="2:5" hidden="1" x14ac:dyDescent="0.25">
      <c r="B563" t="s">
        <v>1090</v>
      </c>
      <c r="C563" t="s">
        <v>1091</v>
      </c>
      <c r="E563" t="str">
        <f>IF(COUNTIF(QuickSpecsList!A:A, B563) &gt; 0, "Yes", "No")</f>
        <v>Yes</v>
      </c>
    </row>
    <row r="564" spans="2:5" hidden="1" x14ac:dyDescent="0.25">
      <c r="B564" t="s">
        <v>909</v>
      </c>
      <c r="C564" t="s">
        <v>910</v>
      </c>
      <c r="E564" t="str">
        <f>IF(COUNTIF(QuickSpecsList!A:A, B564) &gt; 0, "Yes", "No")</f>
        <v>Yes</v>
      </c>
    </row>
    <row r="565" spans="2:5" hidden="1" x14ac:dyDescent="0.25">
      <c r="B565" t="s">
        <v>705</v>
      </c>
      <c r="C565" t="s">
        <v>706</v>
      </c>
      <c r="E565" t="str">
        <f>IF(COUNTIF(QuickSpecsList!A:A, B565) &gt; 0, "Yes", "No")</f>
        <v>Yes</v>
      </c>
    </row>
    <row r="566" spans="2:5" x14ac:dyDescent="0.25">
      <c r="B566" t="s">
        <v>1170</v>
      </c>
      <c r="C566" t="s">
        <v>1171</v>
      </c>
      <c r="E566" t="str">
        <f>IF(COUNTIF(QuickSpecsList!A:A, B566) &gt; 0, "Yes", "No")</f>
        <v>Yes</v>
      </c>
    </row>
    <row r="567" spans="2:5" x14ac:dyDescent="0.25">
      <c r="B567" t="s">
        <v>1262</v>
      </c>
      <c r="C567" t="s">
        <v>1263</v>
      </c>
      <c r="E567" t="str">
        <f>IF(COUNTIF(QuickSpecsList!A:A, B567) &gt; 0, "Yes", "No")</f>
        <v>Yes</v>
      </c>
    </row>
    <row r="568" spans="2:5" x14ac:dyDescent="0.25">
      <c r="B568" t="s">
        <v>1264</v>
      </c>
      <c r="C568" t="s">
        <v>1265</v>
      </c>
      <c r="E568" t="str">
        <f>IF(COUNTIF(QuickSpecsList!A:A, B568) &gt; 0, "Yes", "No")</f>
        <v>Yes</v>
      </c>
    </row>
    <row r="569" spans="2:5" x14ac:dyDescent="0.25">
      <c r="B569" t="s">
        <v>1266</v>
      </c>
      <c r="C569" t="s">
        <v>1267</v>
      </c>
      <c r="E569" t="str">
        <f>IF(COUNTIF(QuickSpecsList!A:A, B569) &gt; 0, "Yes", "No")</f>
        <v>Yes</v>
      </c>
    </row>
    <row r="570" spans="2:5" x14ac:dyDescent="0.25">
      <c r="B570" t="s">
        <v>1268</v>
      </c>
      <c r="C570" t="s">
        <v>1269</v>
      </c>
      <c r="E570" t="str">
        <f>IF(COUNTIF(QuickSpecsList!A:A, B570) &gt; 0, "Yes", "No")</f>
        <v>Yes</v>
      </c>
    </row>
    <row r="571" spans="2:5" hidden="1" x14ac:dyDescent="0.25">
      <c r="B571" t="s">
        <v>870</v>
      </c>
      <c r="C571" t="s">
        <v>871</v>
      </c>
      <c r="E571" t="str">
        <f>IF(COUNTIF(QuickSpecsList!A:A, B571) &gt; 0, "Yes", "No")</f>
        <v>Yes</v>
      </c>
    </row>
    <row r="572" spans="2:5" hidden="1" x14ac:dyDescent="0.25">
      <c r="B572" t="s">
        <v>575</v>
      </c>
      <c r="C572" t="s">
        <v>576</v>
      </c>
      <c r="E572" t="str">
        <f>IF(COUNTIF(QuickSpecsList!A:A, B572) &gt; 0, "Yes", "No")</f>
        <v>Yes</v>
      </c>
    </row>
    <row r="573" spans="2:5" hidden="1" x14ac:dyDescent="0.25">
      <c r="B573" t="s">
        <v>154</v>
      </c>
      <c r="C573" t="s">
        <v>155</v>
      </c>
      <c r="E573" t="str">
        <f>IF(COUNTIF(QuickSpecsList!A:A, B573) &gt; 0, "Yes", "No")</f>
        <v>Yes</v>
      </c>
    </row>
    <row r="574" spans="2:5" hidden="1" x14ac:dyDescent="0.25">
      <c r="B574" t="s">
        <v>326</v>
      </c>
      <c r="C574" t="s">
        <v>327</v>
      </c>
      <c r="E574" t="str">
        <f>IF(COUNTIF(QuickSpecsList!A:A, B574) &gt; 0, "Yes", "No")</f>
        <v>Yes</v>
      </c>
    </row>
    <row r="575" spans="2:5" hidden="1" x14ac:dyDescent="0.25">
      <c r="B575" t="s">
        <v>787</v>
      </c>
      <c r="C575" t="s">
        <v>788</v>
      </c>
      <c r="E575" t="str">
        <f>IF(COUNTIF(QuickSpecsList!A:A, B575) &gt; 0, "Yes", "No")</f>
        <v>Yes</v>
      </c>
    </row>
    <row r="576" spans="2:5" hidden="1" x14ac:dyDescent="0.25">
      <c r="B576" t="s">
        <v>33</v>
      </c>
      <c r="C576" t="s">
        <v>34</v>
      </c>
      <c r="E576" t="str">
        <f>IF(COUNTIF(QuickSpecsList!A:A, B576) &gt; 0, "Yes", "No")</f>
        <v>Yes</v>
      </c>
    </row>
    <row r="577" spans="2:5" hidden="1" x14ac:dyDescent="0.25">
      <c r="B577" t="s">
        <v>31</v>
      </c>
      <c r="C577" t="s">
        <v>32</v>
      </c>
      <c r="E577" t="str">
        <f>IF(COUNTIF(QuickSpecsList!A:A, B577) &gt; 0, "Yes", "No")</f>
        <v>Yes</v>
      </c>
    </row>
    <row r="578" spans="2:5" hidden="1" x14ac:dyDescent="0.25">
      <c r="B578" t="s">
        <v>407</v>
      </c>
      <c r="C578" t="s">
        <v>408</v>
      </c>
      <c r="E578" t="str">
        <f>IF(COUNTIF(QuickSpecsList!A:A, B578) &gt; 0, "Yes", "No")</f>
        <v>Yes</v>
      </c>
    </row>
    <row r="579" spans="2:5" hidden="1" x14ac:dyDescent="0.25">
      <c r="B579" t="s">
        <v>785</v>
      </c>
      <c r="C579" t="s">
        <v>786</v>
      </c>
      <c r="E579" t="str">
        <f>IF(COUNTIF(QuickSpecsList!A:A, B579) &gt; 0, "Yes", "No")</f>
        <v>Yes</v>
      </c>
    </row>
    <row r="580" spans="2:5" hidden="1" x14ac:dyDescent="0.25">
      <c r="B580" t="s">
        <v>35</v>
      </c>
      <c r="C580" t="s">
        <v>36</v>
      </c>
      <c r="E580" t="str">
        <f>IF(COUNTIF(QuickSpecsList!A:A, B580) &gt; 0, "Yes", "No")</f>
        <v>Yes</v>
      </c>
    </row>
    <row r="581" spans="2:5" hidden="1" x14ac:dyDescent="0.25">
      <c r="B581" t="s">
        <v>518</v>
      </c>
      <c r="C581" t="s">
        <v>519</v>
      </c>
      <c r="E581" t="str">
        <f>IF(COUNTIF(QuickSpecsList!A:A, B581) &gt; 0, "Yes", "No")</f>
        <v>Yes</v>
      </c>
    </row>
    <row r="582" spans="2:5" hidden="1" x14ac:dyDescent="0.25">
      <c r="B582" t="s">
        <v>795</v>
      </c>
      <c r="C582" t="s">
        <v>796</v>
      </c>
      <c r="E582" t="str">
        <f>IF(COUNTIF(QuickSpecsList!A:A, B582) &gt; 0, "Yes", "No")</f>
        <v>Yes</v>
      </c>
    </row>
    <row r="583" spans="2:5" hidden="1" x14ac:dyDescent="0.25">
      <c r="B583" t="s">
        <v>793</v>
      </c>
      <c r="C583" t="s">
        <v>794</v>
      </c>
      <c r="E583" t="str">
        <f>IF(COUNTIF(QuickSpecsList!A:A, B583) &gt; 0, "Yes", "No")</f>
        <v>Yes</v>
      </c>
    </row>
    <row r="584" spans="2:5" hidden="1" x14ac:dyDescent="0.25">
      <c r="B584" t="s">
        <v>411</v>
      </c>
      <c r="C584" t="s">
        <v>412</v>
      </c>
      <c r="E584" t="str">
        <f>IF(COUNTIF(QuickSpecsList!A:A, B584) &gt; 0, "Yes", "No")</f>
        <v>Yes</v>
      </c>
    </row>
    <row r="585" spans="2:5" x14ac:dyDescent="0.25">
      <c r="B585" t="s">
        <v>1270</v>
      </c>
      <c r="C585" t="s">
        <v>1271</v>
      </c>
      <c r="E585" t="str">
        <f>IF(COUNTIF(QuickSpecsList!A:A, B585) &gt; 0, "Yes", "No")</f>
        <v>Yes</v>
      </c>
    </row>
    <row r="586" spans="2:5" x14ac:dyDescent="0.25">
      <c r="B586" t="s">
        <v>1272</v>
      </c>
      <c r="C586" t="s">
        <v>1273</v>
      </c>
      <c r="E586" t="str">
        <f>IF(COUNTIF(QuickSpecsList!A:A, B586) &gt; 0, "Yes", "No")</f>
        <v>Yes</v>
      </c>
    </row>
    <row r="587" spans="2:5" hidden="1" x14ac:dyDescent="0.25">
      <c r="B587" t="s">
        <v>385</v>
      </c>
      <c r="C587" t="s">
        <v>386</v>
      </c>
      <c r="E587" t="str">
        <f>IF(COUNTIF(QuickSpecsList!A:A, B587) &gt; 0, "Yes", "No")</f>
        <v>Yes</v>
      </c>
    </row>
    <row r="588" spans="2:5" hidden="1" x14ac:dyDescent="0.25">
      <c r="B588" t="s">
        <v>389</v>
      </c>
      <c r="C588" t="s">
        <v>390</v>
      </c>
      <c r="E588" t="str">
        <f>IF(COUNTIF(QuickSpecsList!A:A, B588) &gt; 0, "Yes", "No")</f>
        <v>Yes</v>
      </c>
    </row>
    <row r="589" spans="2:5" hidden="1" x14ac:dyDescent="0.25">
      <c r="B589" t="s">
        <v>1018</v>
      </c>
      <c r="C589" t="s">
        <v>1019</v>
      </c>
      <c r="E589" t="str">
        <f>IF(COUNTIF(QuickSpecsList!A:A, B589) &gt; 0, "Yes", "No")</f>
        <v>Yes</v>
      </c>
    </row>
    <row r="590" spans="2:5" hidden="1" x14ac:dyDescent="0.25">
      <c r="B590" t="s">
        <v>1098</v>
      </c>
      <c r="C590" t="s">
        <v>1099</v>
      </c>
      <c r="E590" t="str">
        <f>IF(COUNTIF(QuickSpecsList!A:A, B590) &gt; 0, "Yes", "No")</f>
        <v>Yes</v>
      </c>
    </row>
    <row r="591" spans="2:5" hidden="1" x14ac:dyDescent="0.25">
      <c r="B591" t="s">
        <v>1092</v>
      </c>
      <c r="C591" t="s">
        <v>1093</v>
      </c>
      <c r="E591" t="str">
        <f>IF(COUNTIF(QuickSpecsList!A:A, B591) &gt; 0, "Yes", "No")</f>
        <v>Yes</v>
      </c>
    </row>
    <row r="592" spans="2:5" hidden="1" x14ac:dyDescent="0.25">
      <c r="B592" t="s">
        <v>292</v>
      </c>
      <c r="C592" t="s">
        <v>293</v>
      </c>
      <c r="E592" t="str">
        <f>IF(COUNTIF(QuickSpecsList!A:A, B592) &gt; 0, "Yes", "No")</f>
        <v>Yes</v>
      </c>
    </row>
    <row r="593" spans="2:5" hidden="1" x14ac:dyDescent="0.25">
      <c r="B593" t="s">
        <v>1094</v>
      </c>
      <c r="C593" t="s">
        <v>1095</v>
      </c>
      <c r="E593" t="str">
        <f>IF(COUNTIF(QuickSpecsList!A:A, B593) &gt; 0, "Yes", "No")</f>
        <v>Yes</v>
      </c>
    </row>
    <row r="594" spans="2:5" hidden="1" x14ac:dyDescent="0.25">
      <c r="B594" t="s">
        <v>659</v>
      </c>
      <c r="C594" t="s">
        <v>660</v>
      </c>
      <c r="E594" t="str">
        <f>IF(COUNTIF(QuickSpecsList!A:A, B594) &gt; 0, "Yes", "No")</f>
        <v>Yes</v>
      </c>
    </row>
    <row r="595" spans="2:5" x14ac:dyDescent="0.25">
      <c r="B595" t="s">
        <v>1274</v>
      </c>
      <c r="C595" t="s">
        <v>1275</v>
      </c>
      <c r="E595" t="str">
        <f>IF(COUNTIF(QuickSpecsList!A:A, B595) &gt; 0, "Yes", "No")</f>
        <v>Yes</v>
      </c>
    </row>
    <row r="596" spans="2:5" x14ac:dyDescent="0.25">
      <c r="B596" t="s">
        <v>1276</v>
      </c>
      <c r="C596" t="s">
        <v>1277</v>
      </c>
      <c r="E596" t="str">
        <f>IF(COUNTIF(QuickSpecsList!A:A, B596) &gt; 0, "Yes", "No")</f>
        <v>Yes</v>
      </c>
    </row>
    <row r="597" spans="2:5" x14ac:dyDescent="0.25">
      <c r="B597" t="s">
        <v>1278</v>
      </c>
      <c r="C597" t="s">
        <v>1279</v>
      </c>
      <c r="E597" t="str">
        <f>IF(COUNTIF(QuickSpecsList!A:A, B597) &gt; 0, "Yes", "No")</f>
        <v>Yes</v>
      </c>
    </row>
    <row r="598" spans="2:5" hidden="1" x14ac:dyDescent="0.25">
      <c r="B598" t="s">
        <v>137</v>
      </c>
      <c r="C598" t="s">
        <v>138</v>
      </c>
      <c r="E598" t="str">
        <f>IF(COUNTIF(QuickSpecsList!A:A, B598) &gt; 0, "Yes", "No")</f>
        <v>Yes</v>
      </c>
    </row>
    <row r="599" spans="2:5" hidden="1" x14ac:dyDescent="0.25">
      <c r="B599" t="s">
        <v>595</v>
      </c>
      <c r="C599" t="s">
        <v>596</v>
      </c>
      <c r="E599" t="str">
        <f>IF(COUNTIF(QuickSpecsList!A:A, B599) &gt; 0, "Yes", "No")</f>
        <v>Yes</v>
      </c>
    </row>
    <row r="600" spans="2:5" hidden="1" x14ac:dyDescent="0.25">
      <c r="B600" t="s">
        <v>475</v>
      </c>
      <c r="C600" t="s">
        <v>476</v>
      </c>
      <c r="E600" t="str">
        <f>IF(COUNTIF(QuickSpecsList!A:A, B600) &gt; 0, "Yes", "No")</f>
        <v>Yes</v>
      </c>
    </row>
    <row r="601" spans="2:5" hidden="1" x14ac:dyDescent="0.25">
      <c r="B601" t="s">
        <v>320</v>
      </c>
      <c r="C601" t="s">
        <v>321</v>
      </c>
      <c r="E601" t="str">
        <f>IF(COUNTIF(QuickSpecsList!A:A, B601) &gt; 0, "Yes", "No")</f>
        <v>Yes</v>
      </c>
    </row>
    <row r="602" spans="2:5" hidden="1" x14ac:dyDescent="0.25">
      <c r="B602" t="s">
        <v>159</v>
      </c>
      <c r="C602" t="s">
        <v>160</v>
      </c>
      <c r="E602" t="str">
        <f>IF(COUNTIF(QuickSpecsList!A:A, B602) &gt; 0, "Yes", "No")</f>
        <v>Yes</v>
      </c>
    </row>
    <row r="603" spans="2:5" hidden="1" x14ac:dyDescent="0.25">
      <c r="B603" t="s">
        <v>86</v>
      </c>
      <c r="C603" t="s">
        <v>87</v>
      </c>
      <c r="E603" t="str">
        <f>IF(COUNTIF(QuickSpecsList!A:A, B603) &gt; 0, "Yes", "No")</f>
        <v>Yes</v>
      </c>
    </row>
    <row r="604" spans="2:5" x14ac:dyDescent="0.25">
      <c r="B604" t="s">
        <v>1280</v>
      </c>
      <c r="C604" t="s">
        <v>1281</v>
      </c>
      <c r="E604" t="str">
        <f>IF(COUNTIF(QuickSpecsList!A:A, B604) &gt; 0, "Yes", "No")</f>
        <v>Yes</v>
      </c>
    </row>
    <row r="605" spans="2:5" hidden="1" x14ac:dyDescent="0.25">
      <c r="B605" t="s">
        <v>123</v>
      </c>
      <c r="C605" t="s">
        <v>124</v>
      </c>
      <c r="E605" t="str">
        <f>IF(COUNTIF(QuickSpecsList!A:A, B605) &gt; 0, "Yes", "No")</f>
        <v>Yes</v>
      </c>
    </row>
    <row r="606" spans="2:5" hidden="1" x14ac:dyDescent="0.25">
      <c r="B606" t="s">
        <v>573</v>
      </c>
      <c r="C606" t="s">
        <v>574</v>
      </c>
      <c r="E606" t="str">
        <f>IF(COUNTIF(QuickSpecsList!A:A, B606) &gt; 0, "Yes", "No")</f>
        <v>Yes</v>
      </c>
    </row>
    <row r="607" spans="2:5" hidden="1" x14ac:dyDescent="0.25">
      <c r="B607" t="s">
        <v>978</v>
      </c>
      <c r="C607" t="s">
        <v>979</v>
      </c>
      <c r="E607" t="str">
        <f>IF(COUNTIF(QuickSpecsList!A:A, B607) &gt; 0, "Yes", "No")</f>
        <v>Yes</v>
      </c>
    </row>
    <row r="608" spans="2:5" hidden="1" x14ac:dyDescent="0.25">
      <c r="B608" t="s">
        <v>90</v>
      </c>
      <c r="C608" t="s">
        <v>91</v>
      </c>
      <c r="E608" t="str">
        <f>IF(COUNTIF(QuickSpecsList!A:A, B608) &gt; 0, "Yes", "No")</f>
        <v>Yes</v>
      </c>
    </row>
    <row r="609" spans="2:5" hidden="1" x14ac:dyDescent="0.25">
      <c r="B609" t="s">
        <v>109</v>
      </c>
      <c r="C609" t="s">
        <v>110</v>
      </c>
      <c r="E609" t="str">
        <f>IF(COUNTIF(QuickSpecsList!A:A, B609) &gt; 0, "Yes", "No")</f>
        <v>Yes</v>
      </c>
    </row>
    <row r="610" spans="2:5" hidden="1" x14ac:dyDescent="0.25">
      <c r="B610" t="s">
        <v>485</v>
      </c>
      <c r="C610" t="s">
        <v>486</v>
      </c>
      <c r="E610" t="str">
        <f>IF(COUNTIF(QuickSpecsList!A:A, B610) &gt; 0, "Yes", "No")</f>
        <v>Yes</v>
      </c>
    </row>
    <row r="611" spans="2:5" hidden="1" x14ac:dyDescent="0.25">
      <c r="B611" t="s">
        <v>102</v>
      </c>
      <c r="C611" t="s">
        <v>103</v>
      </c>
      <c r="E611" t="str">
        <f>IF(COUNTIF(QuickSpecsList!A:A, B611) &gt; 0, "Yes", "No")</f>
        <v>Yes</v>
      </c>
    </row>
    <row r="612" spans="2:5" hidden="1" x14ac:dyDescent="0.25">
      <c r="B612" t="s">
        <v>445</v>
      </c>
      <c r="C612" t="s">
        <v>446</v>
      </c>
      <c r="E612" t="str">
        <f>IF(COUNTIF(QuickSpecsList!A:A, B612) &gt; 0, "Yes", "No")</f>
        <v>Yes</v>
      </c>
    </row>
    <row r="613" spans="2:5" hidden="1" x14ac:dyDescent="0.25">
      <c r="B613" t="s">
        <v>942</v>
      </c>
      <c r="C613" t="s">
        <v>943</v>
      </c>
      <c r="E613" t="str">
        <f>IF(COUNTIF(QuickSpecsList!A:A, B613) &gt; 0, "Yes", "No")</f>
        <v>Yes</v>
      </c>
    </row>
    <row r="614" spans="2:5" hidden="1" x14ac:dyDescent="0.25">
      <c r="B614" t="s">
        <v>290</v>
      </c>
      <c r="C614" t="s">
        <v>291</v>
      </c>
      <c r="E614" t="str">
        <f>IF(COUNTIF(QuickSpecsList!A:A, B614) &gt; 0, "Yes", "No")</f>
        <v>Yes</v>
      </c>
    </row>
    <row r="615" spans="2:5" hidden="1" x14ac:dyDescent="0.25">
      <c r="B615" t="s">
        <v>169</v>
      </c>
      <c r="C615" t="s">
        <v>170</v>
      </c>
      <c r="E615" t="str">
        <f>IF(COUNTIF(QuickSpecsList!A:A, B615) &gt; 0, "Yes", "No")</f>
        <v>Yes</v>
      </c>
    </row>
    <row r="616" spans="2:5" hidden="1" x14ac:dyDescent="0.25">
      <c r="B616" t="s">
        <v>617</v>
      </c>
      <c r="C616" t="s">
        <v>618</v>
      </c>
      <c r="E616" t="str">
        <f>IF(COUNTIF(QuickSpecsList!A:A, B616) &gt; 0, "Yes", "No")</f>
        <v>Yes</v>
      </c>
    </row>
    <row r="617" spans="2:5" hidden="1" x14ac:dyDescent="0.25">
      <c r="B617" t="s">
        <v>980</v>
      </c>
      <c r="C617" t="s">
        <v>981</v>
      </c>
      <c r="E617" t="str">
        <f>IF(COUNTIF(QuickSpecsList!A:A, B617) &gt; 0, "Yes", "No")</f>
        <v>Yes</v>
      </c>
    </row>
    <row r="618" spans="2:5" hidden="1" x14ac:dyDescent="0.25">
      <c r="B618" t="s">
        <v>982</v>
      </c>
      <c r="C618" t="s">
        <v>983</v>
      </c>
      <c r="E618" t="str">
        <f>IF(COUNTIF(QuickSpecsList!A:A, B618) &gt; 0, "Yes", "No")</f>
        <v>Yes</v>
      </c>
    </row>
    <row r="619" spans="2:5" hidden="1" x14ac:dyDescent="0.25">
      <c r="B619" t="s">
        <v>972</v>
      </c>
      <c r="C619" t="s">
        <v>973</v>
      </c>
      <c r="E619" t="str">
        <f>IF(COUNTIF(QuickSpecsList!A:A, B619) &gt; 0, "Yes", "No")</f>
        <v>Yes</v>
      </c>
    </row>
    <row r="620" spans="2:5" hidden="1" x14ac:dyDescent="0.25">
      <c r="B620" t="s">
        <v>469</v>
      </c>
      <c r="C620" t="s">
        <v>470</v>
      </c>
      <c r="E620" t="str">
        <f>IF(COUNTIF(QuickSpecsList!A:A, B620) &gt; 0, "Yes", "No")</f>
        <v>Yes</v>
      </c>
    </row>
    <row r="621" spans="2:5" hidden="1" x14ac:dyDescent="0.25">
      <c r="B621" t="s">
        <v>546</v>
      </c>
      <c r="C621" t="s">
        <v>547</v>
      </c>
      <c r="E621" t="str">
        <f>IF(COUNTIF(QuickSpecsList!A:A, B621) &gt; 0, "Yes", "No")</f>
        <v>Yes</v>
      </c>
    </row>
    <row r="622" spans="2:5" hidden="1" x14ac:dyDescent="0.25">
      <c r="B622" t="s">
        <v>619</v>
      </c>
      <c r="C622" t="s">
        <v>620</v>
      </c>
      <c r="E622" t="str">
        <f>IF(COUNTIF(QuickSpecsList!A:A, B622) &gt; 0, "Yes", "No")</f>
        <v>Yes</v>
      </c>
    </row>
    <row r="623" spans="2:5" hidden="1" x14ac:dyDescent="0.25">
      <c r="B623" t="s">
        <v>615</v>
      </c>
      <c r="C623" t="s">
        <v>616</v>
      </c>
      <c r="E623" t="str">
        <f>IF(COUNTIF(QuickSpecsList!A:A, B623) &gt; 0, "Yes", "No")</f>
        <v>Yes</v>
      </c>
    </row>
    <row r="624" spans="2:5" hidden="1" x14ac:dyDescent="0.25">
      <c r="B624" t="s">
        <v>719</v>
      </c>
      <c r="C624" t="s">
        <v>720</v>
      </c>
      <c r="E624" t="str">
        <f>IF(COUNTIF(QuickSpecsList!A:A, B624) &gt; 0, "Yes", "No")</f>
        <v>Yes</v>
      </c>
    </row>
    <row r="625" spans="2:5" hidden="1" x14ac:dyDescent="0.25">
      <c r="B625" t="s">
        <v>761</v>
      </c>
      <c r="C625" t="s">
        <v>762</v>
      </c>
      <c r="E625" t="str">
        <f>IF(COUNTIF(QuickSpecsList!A:A, B625) &gt; 0, "Yes", "No")</f>
        <v>Yes</v>
      </c>
    </row>
    <row r="626" spans="2:5" hidden="1" x14ac:dyDescent="0.25">
      <c r="B626" t="s">
        <v>773</v>
      </c>
      <c r="C626" t="s">
        <v>774</v>
      </c>
      <c r="E626" t="str">
        <f>IF(COUNTIF(QuickSpecsList!A:A, B626) &gt; 0, "Yes", "No")</f>
        <v>Yes</v>
      </c>
    </row>
    <row r="627" spans="2:5" hidden="1" x14ac:dyDescent="0.25">
      <c r="B627" t="s">
        <v>336</v>
      </c>
      <c r="C627" t="s">
        <v>337</v>
      </c>
      <c r="E627" t="str">
        <f>IF(COUNTIF(QuickSpecsList!A:A, B627) &gt; 0, "Yes", "No")</f>
        <v>Yes</v>
      </c>
    </row>
    <row r="628" spans="2:5" hidden="1" x14ac:dyDescent="0.25">
      <c r="B628" t="s">
        <v>314</v>
      </c>
      <c r="C628" t="s">
        <v>315</v>
      </c>
      <c r="E628" t="str">
        <f>IF(COUNTIF(QuickSpecsList!A:A, B628) &gt; 0, "Yes", "No")</f>
        <v>Yes</v>
      </c>
    </row>
    <row r="629" spans="2:5" hidden="1" x14ac:dyDescent="0.25">
      <c r="B629" t="s">
        <v>552</v>
      </c>
      <c r="C629" t="s">
        <v>553</v>
      </c>
      <c r="E629" t="str">
        <f>IF(COUNTIF(QuickSpecsList!A:A, B629) &gt; 0, "Yes", "No")</f>
        <v>Yes</v>
      </c>
    </row>
    <row r="630" spans="2:5" hidden="1" x14ac:dyDescent="0.25">
      <c r="B630" t="s">
        <v>548</v>
      </c>
      <c r="C630" t="s">
        <v>549</v>
      </c>
      <c r="E630" t="str">
        <f>IF(COUNTIF(QuickSpecsList!A:A, B630) &gt; 0, "Yes", "No")</f>
        <v>Yes</v>
      </c>
    </row>
    <row r="631" spans="2:5" hidden="1" x14ac:dyDescent="0.25">
      <c r="B631" t="s">
        <v>131</v>
      </c>
      <c r="C631" t="s">
        <v>132</v>
      </c>
      <c r="E631" t="str">
        <f>IF(COUNTIF(QuickSpecsList!A:A, B631) &gt; 0, "Yes", "No")</f>
        <v>Yes</v>
      </c>
    </row>
    <row r="632" spans="2:5" hidden="1" x14ac:dyDescent="0.25">
      <c r="B632" t="s">
        <v>534</v>
      </c>
      <c r="C632" t="s">
        <v>535</v>
      </c>
      <c r="E632" t="str">
        <f>IF(COUNTIF(QuickSpecsList!A:A, B632) &gt; 0, "Yes", "No")</f>
        <v>Yes</v>
      </c>
    </row>
    <row r="633" spans="2:5" hidden="1" x14ac:dyDescent="0.25">
      <c r="B633" t="s">
        <v>302</v>
      </c>
      <c r="C633" t="s">
        <v>303</v>
      </c>
      <c r="E633" t="str">
        <f>IF(COUNTIF(QuickSpecsList!A:A, B633) &gt; 0, "Yes", "No")</f>
        <v>Yes</v>
      </c>
    </row>
    <row r="634" spans="2:5" hidden="1" x14ac:dyDescent="0.25">
      <c r="B634" t="s">
        <v>403</v>
      </c>
      <c r="C634" t="s">
        <v>404</v>
      </c>
      <c r="E634" t="str">
        <f>IF(COUNTIF(QuickSpecsList!A:A, B634) &gt; 0, "Yes", "No")</f>
        <v>Yes</v>
      </c>
    </row>
    <row r="635" spans="2:5" hidden="1" x14ac:dyDescent="0.25">
      <c r="B635" t="s">
        <v>647</v>
      </c>
      <c r="C635" t="s">
        <v>648</v>
      </c>
      <c r="E635" t="str">
        <f>IF(COUNTIF(QuickSpecsList!A:A, B635) &gt; 0, "Yes", "No")</f>
        <v>Yes</v>
      </c>
    </row>
    <row r="636" spans="2:5" hidden="1" x14ac:dyDescent="0.25">
      <c r="B636" t="s">
        <v>218</v>
      </c>
      <c r="C636" t="s">
        <v>219</v>
      </c>
      <c r="E636" t="str">
        <f>IF(COUNTIF(QuickSpecsList!A:A, B636) &gt; 0, "Yes", "No")</f>
        <v>Yes</v>
      </c>
    </row>
    <row r="637" spans="2:5" hidden="1" x14ac:dyDescent="0.25">
      <c r="B637" t="s">
        <v>651</v>
      </c>
      <c r="C637" t="s">
        <v>652</v>
      </c>
      <c r="E637" t="str">
        <f>IF(COUNTIF(QuickSpecsList!A:A, B637) &gt; 0, "Yes", "No")</f>
        <v>Yes</v>
      </c>
    </row>
    <row r="638" spans="2:5" hidden="1" x14ac:dyDescent="0.25">
      <c r="B638" t="s">
        <v>200</v>
      </c>
      <c r="C638" t="s">
        <v>201</v>
      </c>
      <c r="E638" t="str">
        <f>IF(COUNTIF(QuickSpecsList!A:A, B638) &gt; 0, "Yes", "No")</f>
        <v>Yes</v>
      </c>
    </row>
    <row r="639" spans="2:5" hidden="1" x14ac:dyDescent="0.25">
      <c r="B639" t="s">
        <v>923</v>
      </c>
      <c r="C639" t="s">
        <v>924</v>
      </c>
      <c r="E639" t="str">
        <f>IF(COUNTIF(QuickSpecsList!A:A, B639) &gt; 0, "Yes", "No")</f>
        <v>Yes</v>
      </c>
    </row>
    <row r="640" spans="2:5" hidden="1" x14ac:dyDescent="0.25">
      <c r="B640" t="s">
        <v>324</v>
      </c>
      <c r="C640" t="s">
        <v>325</v>
      </c>
      <c r="E640" t="str">
        <f>IF(COUNTIF(QuickSpecsList!A:A, B640) &gt; 0, "Yes", "No")</f>
        <v>Yes</v>
      </c>
    </row>
    <row r="641" spans="2:5" hidden="1" x14ac:dyDescent="0.25">
      <c r="B641" t="s">
        <v>318</v>
      </c>
      <c r="C641" t="s">
        <v>319</v>
      </c>
      <c r="E641" t="str">
        <f>IF(COUNTIF(QuickSpecsList!A:A, B641) &gt; 0, "Yes", "No")</f>
        <v>Yes</v>
      </c>
    </row>
    <row r="642" spans="2:5" hidden="1" x14ac:dyDescent="0.25">
      <c r="B642" t="s">
        <v>878</v>
      </c>
      <c r="C642" t="s">
        <v>879</v>
      </c>
      <c r="E642" t="str">
        <f>IF(COUNTIF(QuickSpecsList!A:A, B642) &gt; 0, "Yes", "No")</f>
        <v>Yes</v>
      </c>
    </row>
    <row r="643" spans="2:5" hidden="1" x14ac:dyDescent="0.25">
      <c r="B643" t="s">
        <v>216</v>
      </c>
      <c r="C643" t="s">
        <v>217</v>
      </c>
      <c r="E643" t="str">
        <f>IF(COUNTIF(QuickSpecsList!A:A, B643) &gt; 0, "Yes", "No")</f>
        <v>Yes</v>
      </c>
    </row>
    <row r="644" spans="2:5" hidden="1" x14ac:dyDescent="0.25">
      <c r="B644" t="s">
        <v>520</v>
      </c>
      <c r="C644" t="s">
        <v>521</v>
      </c>
      <c r="E644" t="str">
        <f>IF(COUNTIF(QuickSpecsList!A:A, B644) &gt; 0, "Yes", "No")</f>
        <v>Yes</v>
      </c>
    </row>
    <row r="645" spans="2:5" hidden="1" x14ac:dyDescent="0.25">
      <c r="B645" t="s">
        <v>849</v>
      </c>
      <c r="C645" t="s">
        <v>850</v>
      </c>
      <c r="E645" t="str">
        <f>IF(COUNTIF(QuickSpecsList!A:A, B645) &gt; 0, "Yes", "No")</f>
        <v>Yes</v>
      </c>
    </row>
    <row r="646" spans="2:5" hidden="1" x14ac:dyDescent="0.25">
      <c r="B646" t="s">
        <v>587</v>
      </c>
      <c r="C646" t="s">
        <v>588</v>
      </c>
      <c r="E646" t="str">
        <f>IF(COUNTIF(QuickSpecsList!A:A, B646) &gt; 0, "Yes", "No")</f>
        <v>Yes</v>
      </c>
    </row>
    <row r="647" spans="2:5" hidden="1" x14ac:dyDescent="0.25">
      <c r="B647" t="s">
        <v>649</v>
      </c>
      <c r="C647" t="s">
        <v>650</v>
      </c>
      <c r="E647" t="str">
        <f>IF(COUNTIF(QuickSpecsList!A:A, B647) &gt; 0, "Yes", "No")</f>
        <v>Yes</v>
      </c>
    </row>
    <row r="648" spans="2:5" hidden="1" x14ac:dyDescent="0.25">
      <c r="B648" t="s">
        <v>944</v>
      </c>
      <c r="C648" t="s">
        <v>945</v>
      </c>
      <c r="E648" t="str">
        <f>IF(COUNTIF(QuickSpecsList!A:A, B648) &gt; 0, "Yes", "No")</f>
        <v>Yes</v>
      </c>
    </row>
    <row r="649" spans="2:5" hidden="1" x14ac:dyDescent="0.25">
      <c r="B649" t="s">
        <v>661</v>
      </c>
      <c r="C649" t="s">
        <v>662</v>
      </c>
      <c r="E649" t="str">
        <f>IF(COUNTIF(QuickSpecsList!A:A, B649) &gt; 0, "Yes", "No")</f>
        <v>Yes</v>
      </c>
    </row>
    <row r="650" spans="2:5" hidden="1" x14ac:dyDescent="0.25">
      <c r="B650" t="s">
        <v>237</v>
      </c>
      <c r="C650" t="s">
        <v>238</v>
      </c>
      <c r="E650" t="str">
        <f>IF(COUNTIF(QuickSpecsList!A:A, B650) &gt; 0, "Yes", "No")</f>
        <v>Yes</v>
      </c>
    </row>
    <row r="651" spans="2:5" hidden="1" x14ac:dyDescent="0.25">
      <c r="B651" t="s">
        <v>895</v>
      </c>
      <c r="C651" t="s">
        <v>896</v>
      </c>
      <c r="E651" t="str">
        <f>IF(COUNTIF(QuickSpecsList!A:A, B651) &gt; 0, "Yes", "No")</f>
        <v>Yes</v>
      </c>
    </row>
    <row r="652" spans="2:5" hidden="1" x14ac:dyDescent="0.25">
      <c r="B652" t="s">
        <v>182</v>
      </c>
      <c r="C652" t="s">
        <v>183</v>
      </c>
      <c r="E652" t="str">
        <f>IF(COUNTIF(QuickSpecsList!A:A, B652) &gt; 0, "Yes", "No")</f>
        <v>Yes</v>
      </c>
    </row>
    <row r="653" spans="2:5" hidden="1" x14ac:dyDescent="0.25">
      <c r="B653" t="s">
        <v>645</v>
      </c>
      <c r="C653" t="s">
        <v>646</v>
      </c>
      <c r="E653" t="str">
        <f>IF(COUNTIF(QuickSpecsList!A:A, B653) &gt; 0, "Yes", "No")</f>
        <v>Yes</v>
      </c>
    </row>
    <row r="654" spans="2:5" hidden="1" x14ac:dyDescent="0.25">
      <c r="B654" t="s">
        <v>882</v>
      </c>
      <c r="C654" t="s">
        <v>883</v>
      </c>
      <c r="E654" t="str">
        <f>IF(COUNTIF(QuickSpecsList!A:A, B654) &gt; 0, "Yes", "No")</f>
        <v>Yes</v>
      </c>
    </row>
    <row r="655" spans="2:5" hidden="1" x14ac:dyDescent="0.25">
      <c r="B655" t="s">
        <v>717</v>
      </c>
      <c r="C655" t="s">
        <v>718</v>
      </c>
      <c r="E655" t="str">
        <f>IF(COUNTIF(QuickSpecsList!A:A, B655) &gt; 0, "Yes", "No")</f>
        <v>Yes</v>
      </c>
    </row>
    <row r="656" spans="2:5" hidden="1" x14ac:dyDescent="0.25">
      <c r="B656" t="s">
        <v>241</v>
      </c>
      <c r="C656" t="s">
        <v>242</v>
      </c>
      <c r="E656" t="str">
        <f>IF(COUNTIF(QuickSpecsList!A:A, B656) &gt; 0, "Yes", "No")</f>
        <v>Yes</v>
      </c>
    </row>
    <row r="657" spans="2:5" hidden="1" x14ac:dyDescent="0.25">
      <c r="B657" t="s">
        <v>558</v>
      </c>
      <c r="C657" t="s">
        <v>559</v>
      </c>
      <c r="E657" t="str">
        <f>IF(COUNTIF(QuickSpecsList!A:A, B657) &gt; 0, "Yes", "No")</f>
        <v>Yes</v>
      </c>
    </row>
    <row r="658" spans="2:5" hidden="1" x14ac:dyDescent="0.25">
      <c r="B658" t="s">
        <v>198</v>
      </c>
      <c r="C658" t="s">
        <v>1282</v>
      </c>
      <c r="E658" t="str">
        <f>IF(COUNTIF(QuickSpecsList!A:A, B658) &gt; 0, "Yes", "No")</f>
        <v>Yes</v>
      </c>
    </row>
    <row r="659" spans="2:5" hidden="1" x14ac:dyDescent="0.25">
      <c r="B659" t="s">
        <v>681</v>
      </c>
      <c r="C659" t="s">
        <v>682</v>
      </c>
      <c r="E659" t="str">
        <f>IF(COUNTIF(QuickSpecsList!A:A, B659) &gt; 0, "Yes", "No")</f>
        <v>Yes</v>
      </c>
    </row>
    <row r="660" spans="2:5" hidden="1" x14ac:dyDescent="0.25">
      <c r="B660" t="s">
        <v>771</v>
      </c>
      <c r="C660" t="s">
        <v>772</v>
      </c>
      <c r="E660" t="str">
        <f>IF(COUNTIF(QuickSpecsList!A:A, B660) &gt; 0, "Yes", "No")</f>
        <v>Yes</v>
      </c>
    </row>
    <row r="661" spans="2:5" hidden="1" x14ac:dyDescent="0.25">
      <c r="B661" t="s">
        <v>759</v>
      </c>
      <c r="C661" t="s">
        <v>760</v>
      </c>
      <c r="E661" t="str">
        <f>IF(COUNTIF(QuickSpecsList!A:A, B661) &gt; 0, "Yes", "No")</f>
        <v>Yes</v>
      </c>
    </row>
    <row r="662" spans="2:5" hidden="1" x14ac:dyDescent="0.25">
      <c r="B662" t="s">
        <v>765</v>
      </c>
      <c r="C662" t="s">
        <v>766</v>
      </c>
      <c r="E662" t="str">
        <f>IF(COUNTIF(QuickSpecsList!A:A, B662) &gt; 0, "Yes", "No")</f>
        <v>Yes</v>
      </c>
    </row>
    <row r="663" spans="2:5" hidden="1" x14ac:dyDescent="0.25">
      <c r="B663" t="s">
        <v>767</v>
      </c>
      <c r="C663" t="s">
        <v>768</v>
      </c>
      <c r="E663" t="str">
        <f>IF(COUNTIF(QuickSpecsList!A:A, B663) &gt; 0, "Yes", "No")</f>
        <v>Yes</v>
      </c>
    </row>
    <row r="664" spans="2:5" hidden="1" x14ac:dyDescent="0.25">
      <c r="B664" t="s">
        <v>737</v>
      </c>
      <c r="C664" t="s">
        <v>738</v>
      </c>
      <c r="E664" t="str">
        <f>IF(COUNTIF(QuickSpecsList!A:A, B664) &gt; 0, "Yes", "No")</f>
        <v>Yes</v>
      </c>
    </row>
    <row r="665" spans="2:5" hidden="1" x14ac:dyDescent="0.25">
      <c r="B665" t="s">
        <v>769</v>
      </c>
      <c r="C665" t="s">
        <v>770</v>
      </c>
      <c r="E665" t="str">
        <f>IF(COUNTIF(QuickSpecsList!A:A, B665) &gt; 0, "Yes", "No")</f>
        <v>Yes</v>
      </c>
    </row>
    <row r="666" spans="2:5" hidden="1" x14ac:dyDescent="0.25">
      <c r="B666" t="s">
        <v>1067</v>
      </c>
      <c r="C666" t="s">
        <v>1068</v>
      </c>
      <c r="E666" t="str">
        <f>IF(COUNTIF(QuickSpecsList!A:A, B666) &gt; 0, "Yes", "No")</f>
        <v>Yes</v>
      </c>
    </row>
    <row r="667" spans="2:5" hidden="1" x14ac:dyDescent="0.25">
      <c r="B667" t="s">
        <v>375</v>
      </c>
      <c r="C667" t="s">
        <v>376</v>
      </c>
      <c r="E667" t="str">
        <f>IF(COUNTIF(QuickSpecsList!A:A, B667) &gt; 0, "Yes", "No")</f>
        <v>Yes</v>
      </c>
    </row>
    <row r="668" spans="2:5" hidden="1" x14ac:dyDescent="0.25">
      <c r="B668" t="s">
        <v>377</v>
      </c>
      <c r="C668" t="s">
        <v>378</v>
      </c>
      <c r="E668" t="str">
        <f>IF(COUNTIF(QuickSpecsList!A:A, B668) &gt; 0, "Yes", "No")</f>
        <v>Yes</v>
      </c>
    </row>
    <row r="669" spans="2:5" hidden="1" x14ac:dyDescent="0.25">
      <c r="B669" t="s">
        <v>1088</v>
      </c>
      <c r="C669" t="s">
        <v>1089</v>
      </c>
      <c r="E669" t="str">
        <f>IF(COUNTIF(QuickSpecsList!A:A, B669) &gt; 0, "Yes", "No")</f>
        <v>Yes</v>
      </c>
    </row>
    <row r="670" spans="2:5" x14ac:dyDescent="0.25">
      <c r="B670" t="s">
        <v>1283</v>
      </c>
      <c r="C670" t="s">
        <v>1284</v>
      </c>
      <c r="E670" t="str">
        <f>IF(COUNTIF(QuickSpecsList!A:A, B670) &gt; 0, "Yes", "No")</f>
        <v>Yes</v>
      </c>
    </row>
    <row r="671" spans="2:5" hidden="1" x14ac:dyDescent="0.25">
      <c r="B671" t="s">
        <v>37</v>
      </c>
      <c r="C671" t="s">
        <v>38</v>
      </c>
      <c r="E671" t="str">
        <f>IF(COUNTIF(QuickSpecsList!A:A, B671) &gt; 0, "Yes", "No")</f>
        <v>Yes</v>
      </c>
    </row>
    <row r="672" spans="2:5" x14ac:dyDescent="0.25">
      <c r="E672" t="str">
        <f>IF(COUNTIF(QuickSpecsList!A:A, B672) &gt; 0, "Yes", "No")</f>
        <v>No</v>
      </c>
    </row>
    <row r="673" spans="5:5" x14ac:dyDescent="0.25">
      <c r="E673" t="str">
        <f>IF(COUNTIF(QuickSpecsList!A:A, B673) &gt; 0, "Yes", "No")</f>
        <v>No</v>
      </c>
    </row>
    <row r="674" spans="5:5" x14ac:dyDescent="0.25">
      <c r="E674" t="str">
        <f>IF(COUNTIF(QuickSpecsList!A:A, B674) &gt; 0, "Yes", "No")</f>
        <v>No</v>
      </c>
    </row>
  </sheetData>
  <autoFilter ref="E4:E674" xr:uid="{6AC90941-9A5F-4597-9883-5A26D773CAAD}">
    <filterColumn colId="0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D9C8-0F1D-4AD8-924C-CFC3667E31BC}">
  <sheetPr>
    <tabColor theme="2"/>
  </sheetPr>
  <dimension ref="A1:A21"/>
  <sheetViews>
    <sheetView workbookViewId="0">
      <selection activeCell="A22" sqref="A22"/>
    </sheetView>
  </sheetViews>
  <sheetFormatPr defaultRowHeight="15" x14ac:dyDescent="0.25"/>
  <sheetData>
    <row r="1" spans="1:1" x14ac:dyDescent="0.25">
      <c r="A1" t="s">
        <v>1113</v>
      </c>
    </row>
    <row r="2" spans="1:1" x14ac:dyDescent="0.25">
      <c r="A2" t="s">
        <v>1114</v>
      </c>
    </row>
    <row r="3" spans="1:1" x14ac:dyDescent="0.25">
      <c r="A3" t="s">
        <v>1115</v>
      </c>
    </row>
    <row r="4" spans="1:1" x14ac:dyDescent="0.25">
      <c r="A4" t="s">
        <v>1116</v>
      </c>
    </row>
    <row r="5" spans="1:1" x14ac:dyDescent="0.25">
      <c r="A5" t="s">
        <v>1117</v>
      </c>
    </row>
    <row r="6" spans="1:1" x14ac:dyDescent="0.25">
      <c r="A6" t="s">
        <v>1118</v>
      </c>
    </row>
    <row r="7" spans="1:1" x14ac:dyDescent="0.25">
      <c r="A7" t="s">
        <v>1119</v>
      </c>
    </row>
    <row r="8" spans="1:1" x14ac:dyDescent="0.25">
      <c r="A8" t="s">
        <v>1120</v>
      </c>
    </row>
    <row r="9" spans="1:1" x14ac:dyDescent="0.25">
      <c r="A9" t="s">
        <v>1121</v>
      </c>
    </row>
    <row r="10" spans="1:1" x14ac:dyDescent="0.25">
      <c r="A10" t="s">
        <v>1122</v>
      </c>
    </row>
    <row r="11" spans="1:1" x14ac:dyDescent="0.25">
      <c r="A11" t="s">
        <v>1123</v>
      </c>
    </row>
    <row r="12" spans="1:1" x14ac:dyDescent="0.25">
      <c r="A12" t="s">
        <v>1124</v>
      </c>
    </row>
    <row r="13" spans="1:1" x14ac:dyDescent="0.25">
      <c r="A13" t="s">
        <v>1125</v>
      </c>
    </row>
    <row r="14" spans="1:1" x14ac:dyDescent="0.25">
      <c r="A14" t="s">
        <v>1126</v>
      </c>
    </row>
    <row r="15" spans="1:1" x14ac:dyDescent="0.25">
      <c r="A15" t="s">
        <v>1127</v>
      </c>
    </row>
    <row r="16" spans="1:1" x14ac:dyDescent="0.25">
      <c r="A16" t="s">
        <v>1128</v>
      </c>
    </row>
    <row r="17" spans="1:1" x14ac:dyDescent="0.25">
      <c r="A17" t="s">
        <v>1129</v>
      </c>
    </row>
    <row r="18" spans="1:1" x14ac:dyDescent="0.25">
      <c r="A18" t="s">
        <v>861</v>
      </c>
    </row>
    <row r="19" spans="1:1" x14ac:dyDescent="0.25">
      <c r="A19" t="s">
        <v>179</v>
      </c>
    </row>
    <row r="20" spans="1:1" x14ac:dyDescent="0.25">
      <c r="A20" t="s">
        <v>1130</v>
      </c>
    </row>
    <row r="21" spans="1:1" x14ac:dyDescent="0.25">
      <c r="A21" t="s">
        <v>1131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69B83-3AB9-4C06-BA5D-6E4533F0DAEE}">
  <sheetPr>
    <tabColor theme="2"/>
  </sheetPr>
  <dimension ref="A1:B29"/>
  <sheetViews>
    <sheetView topLeftCell="A4" workbookViewId="0">
      <selection activeCell="A15" sqref="A15"/>
    </sheetView>
  </sheetViews>
  <sheetFormatPr defaultRowHeight="15" x14ac:dyDescent="0.25"/>
  <sheetData>
    <row r="1" spans="1:2" x14ac:dyDescent="0.25">
      <c r="A1" t="s">
        <v>1156</v>
      </c>
      <c r="B1" t="s">
        <v>41</v>
      </c>
    </row>
    <row r="2" spans="1:2" x14ac:dyDescent="0.25">
      <c r="A2" t="s">
        <v>1155</v>
      </c>
      <c r="B2" t="s">
        <v>41</v>
      </c>
    </row>
    <row r="3" spans="1:2" x14ac:dyDescent="0.25">
      <c r="A3" t="s">
        <v>1153</v>
      </c>
      <c r="B3" t="s">
        <v>20</v>
      </c>
    </row>
    <row r="4" spans="1:2" x14ac:dyDescent="0.25">
      <c r="A4" t="s">
        <v>1154</v>
      </c>
      <c r="B4" t="s">
        <v>20</v>
      </c>
    </row>
    <row r="5" spans="1:2" x14ac:dyDescent="0.25">
      <c r="A5" t="s">
        <v>1132</v>
      </c>
      <c r="B5" t="s">
        <v>41</v>
      </c>
    </row>
    <row r="6" spans="1:2" x14ac:dyDescent="0.25">
      <c r="A6" t="s">
        <v>1133</v>
      </c>
      <c r="B6" t="s">
        <v>41</v>
      </c>
    </row>
    <row r="7" spans="1:2" x14ac:dyDescent="0.25">
      <c r="A7" t="s">
        <v>1134</v>
      </c>
      <c r="B7" t="s">
        <v>20</v>
      </c>
    </row>
    <row r="8" spans="1:2" x14ac:dyDescent="0.25">
      <c r="A8" t="s">
        <v>1135</v>
      </c>
      <c r="B8" t="s">
        <v>20</v>
      </c>
    </row>
    <row r="9" spans="1:2" x14ac:dyDescent="0.25">
      <c r="A9" t="s">
        <v>1157</v>
      </c>
      <c r="B9" t="s">
        <v>41</v>
      </c>
    </row>
    <row r="10" spans="1:2" x14ac:dyDescent="0.25">
      <c r="A10" t="s">
        <v>1158</v>
      </c>
      <c r="B10" t="s">
        <v>88</v>
      </c>
    </row>
    <row r="11" spans="1:2" x14ac:dyDescent="0.25">
      <c r="A11" t="s">
        <v>1136</v>
      </c>
      <c r="B11" t="s">
        <v>41</v>
      </c>
    </row>
    <row r="12" spans="1:2" x14ac:dyDescent="0.25">
      <c r="A12" t="s">
        <v>1137</v>
      </c>
      <c r="B12" t="s">
        <v>41</v>
      </c>
    </row>
    <row r="13" spans="1:2" x14ac:dyDescent="0.25">
      <c r="A13" t="s">
        <v>1138</v>
      </c>
      <c r="B13" t="s">
        <v>248</v>
      </c>
    </row>
    <row r="14" spans="1:2" x14ac:dyDescent="0.25">
      <c r="A14" t="s">
        <v>790</v>
      </c>
      <c r="B14" t="s">
        <v>789</v>
      </c>
    </row>
    <row r="15" spans="1:2" x14ac:dyDescent="0.25">
      <c r="A15" t="s">
        <v>92</v>
      </c>
      <c r="B15" t="s">
        <v>59</v>
      </c>
    </row>
    <row r="16" spans="1:2" x14ac:dyDescent="0.25">
      <c r="A16" t="s">
        <v>1139</v>
      </c>
      <c r="B16" t="s">
        <v>20</v>
      </c>
    </row>
    <row r="17" spans="1:2" x14ac:dyDescent="0.25">
      <c r="A17" t="s">
        <v>1140</v>
      </c>
      <c r="B17" t="s">
        <v>108</v>
      </c>
    </row>
    <row r="18" spans="1:2" x14ac:dyDescent="0.25">
      <c r="A18" t="s">
        <v>1141</v>
      </c>
      <c r="B18" t="s">
        <v>108</v>
      </c>
    </row>
    <row r="19" spans="1:2" x14ac:dyDescent="0.25">
      <c r="A19" t="s">
        <v>1142</v>
      </c>
      <c r="B19" t="s">
        <v>108</v>
      </c>
    </row>
    <row r="20" spans="1:2" x14ac:dyDescent="0.25">
      <c r="A20" t="s">
        <v>1143</v>
      </c>
      <c r="B20" t="s">
        <v>20</v>
      </c>
    </row>
    <row r="21" spans="1:2" x14ac:dyDescent="0.25">
      <c r="A21" t="s">
        <v>1144</v>
      </c>
      <c r="B21" t="s">
        <v>156</v>
      </c>
    </row>
    <row r="22" spans="1:2" x14ac:dyDescent="0.25">
      <c r="A22" t="s">
        <v>608</v>
      </c>
      <c r="B22" t="s">
        <v>156</v>
      </c>
    </row>
    <row r="23" spans="1:2" x14ac:dyDescent="0.25">
      <c r="A23" t="s">
        <v>1145</v>
      </c>
      <c r="B23" t="s">
        <v>59</v>
      </c>
    </row>
    <row r="24" spans="1:2" x14ac:dyDescent="0.25">
      <c r="A24" t="s">
        <v>1146</v>
      </c>
      <c r="B24" t="s">
        <v>108</v>
      </c>
    </row>
    <row r="25" spans="1:2" x14ac:dyDescent="0.25">
      <c r="A25" t="s">
        <v>1147</v>
      </c>
      <c r="B25" t="s">
        <v>789</v>
      </c>
    </row>
    <row r="26" spans="1:2" x14ac:dyDescent="0.25">
      <c r="A26" t="s">
        <v>145</v>
      </c>
      <c r="B26" t="s">
        <v>108</v>
      </c>
    </row>
    <row r="27" spans="1:2" x14ac:dyDescent="0.25">
      <c r="A27" t="s">
        <v>78</v>
      </c>
      <c r="B27" t="s">
        <v>156</v>
      </c>
    </row>
    <row r="28" spans="1:2" x14ac:dyDescent="0.25">
      <c r="A28" t="s">
        <v>1148</v>
      </c>
      <c r="B28" t="s">
        <v>47</v>
      </c>
    </row>
    <row r="29" spans="1:2" x14ac:dyDescent="0.25">
      <c r="A29" t="s">
        <v>150</v>
      </c>
      <c r="B29" t="s">
        <v>156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QuickSpecsList</vt:lpstr>
      <vt:lpstr>Check if already in the DB</vt:lpstr>
      <vt:lpstr>GenList</vt:lpstr>
      <vt:lpstr>Category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Daunou, Adrien</dc:creator>
  <cp:keywords/>
  <dc:description/>
  <cp:lastModifiedBy>Daunou, Adrien</cp:lastModifiedBy>
  <cp:revision/>
  <dcterms:created xsi:type="dcterms:W3CDTF">2025-06-26T08:17:13Z</dcterms:created>
  <dcterms:modified xsi:type="dcterms:W3CDTF">2025-11-25T20:22:56Z</dcterms:modified>
  <cp:category/>
  <cp:contentStatus/>
</cp:coreProperties>
</file>